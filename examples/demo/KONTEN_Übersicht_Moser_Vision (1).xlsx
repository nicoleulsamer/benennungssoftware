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30" yWindow="30" windowWidth="28770" windowHeight="15450" tabRatio="600" firstSheet="0" activeTab="0" autoFilterDateGrouping="1"/>
  </bookViews>
  <sheets>
    <sheet name="Moser" sheetId="1" state="visible" r:id="rId1"/>
    <sheet name="Vision" sheetId="2" state="visible" r:id="rId2"/>
    <sheet name="geschlossene Konten" sheetId="3" state="visible" r:id="rId3"/>
    <sheet name="Archiv" sheetId="4" state="visible" r:id="rId4"/>
  </sheets>
  <definedNames>
    <definedName name="_xlnm._FilterDatabase" localSheetId="0" hidden="1">'Moser'!$A$1:$BH$87</definedName>
    <definedName name="_xlnm.Print_Area" localSheetId="0">'Moser'!$A$1:$G$82</definedName>
    <definedName name="_xlnm._FilterDatabase" localSheetId="1" hidden="1">'Vision'!$A$1:$G$19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family val="2"/>
      <b val="1"/>
      <color rgb="FF000000"/>
      <sz val="8.5"/>
    </font>
    <font>
      <name val="Arial"/>
      <family val="2"/>
      <b val="1"/>
      <color theme="1"/>
      <sz val="8.5"/>
    </font>
    <font>
      <name val="Arial"/>
      <family val="2"/>
      <color theme="1"/>
      <sz val="8.5"/>
    </font>
    <font>
      <name val="Arial"/>
      <family val="2"/>
      <color rgb="FF000000"/>
      <sz val="8.5"/>
    </font>
    <font>
      <name val="Arial"/>
      <family val="2"/>
      <color rgb="FFFFFFFF"/>
      <sz val="8.5"/>
    </font>
    <font>
      <name val="Arial"/>
      <family val="2"/>
      <i val="1"/>
      <color theme="1"/>
      <sz val="6"/>
    </font>
    <font>
      <name val="Arial"/>
      <family val="2"/>
      <i val="1"/>
      <color theme="1"/>
      <sz val="8.5"/>
    </font>
    <font>
      <name val="Arial"/>
      <family val="2"/>
      <b val="1"/>
      <i val="1"/>
      <color rgb="FF000000"/>
      <sz val="8.5"/>
    </font>
    <font>
      <name val="Calibri"/>
      <family val="2"/>
      <color theme="1"/>
      <sz val="8.5"/>
      <scheme val="minor"/>
    </font>
    <font>
      <name val="Arial"/>
      <family val="2"/>
      <b val="1"/>
      <i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strike val="1"/>
      <color theme="1"/>
      <sz val="8.5"/>
    </font>
    <font>
      <name val="Arial"/>
      <family val="2"/>
      <b val="1"/>
      <strike val="1"/>
      <color theme="1"/>
      <sz val="8.5"/>
    </font>
    <font>
      <name val="Arial"/>
      <family val="2"/>
      <strike val="1"/>
      <color theme="1"/>
      <sz val="8"/>
    </font>
    <font>
      <name val="Arial"/>
      <family val="2"/>
      <b val="1"/>
      <i val="1"/>
      <strike val="1"/>
      <color rgb="FF000000"/>
      <sz val="8.5"/>
    </font>
    <font>
      <name val="Calibri"/>
      <family val="2"/>
      <strike val="1"/>
      <color theme="1"/>
      <sz val="11"/>
      <scheme val="minor"/>
    </font>
    <font>
      <name val="Arial"/>
      <family val="2"/>
      <i val="1"/>
      <strike val="1"/>
      <color theme="1"/>
      <sz val="6"/>
    </font>
    <font>
      <name val="Arial"/>
      <family val="2"/>
      <strike val="1"/>
      <color rgb="FF000000"/>
      <sz val="8.5"/>
    </font>
    <font>
      <name val="Calibri"/>
      <family val="2"/>
      <strike val="1"/>
      <color theme="1"/>
      <sz val="8.5"/>
      <scheme val="minor"/>
    </font>
    <font>
      <name val="Arial"/>
      <family val="2"/>
      <i val="1"/>
      <strike val="1"/>
      <color theme="1"/>
      <sz val="8.5"/>
    </font>
    <font>
      <name val="Arial"/>
      <family val="2"/>
      <strike val="1"/>
      <color rgb="FFFFFFFF"/>
      <sz val="8.5"/>
    </font>
    <font>
      <name val="Calibri"/>
      <family val="2"/>
      <i val="1"/>
      <color theme="1"/>
      <sz val="8.5"/>
      <scheme val="minor"/>
    </font>
    <font>
      <name val="Arial"/>
      <family val="2"/>
      <i val="1"/>
      <strike val="1"/>
      <color rgb="FF000000"/>
      <sz val="8.5"/>
    </font>
    <font>
      <name val="Arial"/>
      <family val="2"/>
      <b val="1"/>
      <i val="1"/>
      <strike val="1"/>
      <color theme="1"/>
      <sz val="8.5"/>
    </font>
    <font>
      <name val="Arial"/>
      <family val="2"/>
      <color theme="0"/>
      <sz val="8.5"/>
    </font>
  </fonts>
  <fills count="25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4D7FE"/>
        <bgColor indexed="64"/>
      </patternFill>
    </fill>
    <fill>
      <patternFill patternType="solid">
        <fgColor rgb="FFFCFEB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82F69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10EFF4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 wrapText="1"/>
    </xf>
    <xf numFmtId="0" fontId="16" fillId="0" borderId="0" pivotButton="0" quotePrefix="0" xfId="0"/>
    <xf numFmtId="0" fontId="17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  <xf numFmtId="0" fontId="18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2" fillId="20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3" fillId="0" borderId="1" applyAlignment="1" pivotButton="0" quotePrefix="0" xfId="0">
      <alignment horizontal="left" wrapText="1"/>
    </xf>
    <xf numFmtId="0" fontId="12" fillId="0" borderId="1" applyAlignment="1" pivotButton="0" quotePrefix="0" xfId="0">
      <alignment horizontal="left" wrapText="1"/>
    </xf>
    <xf numFmtId="0" fontId="12" fillId="0" borderId="1" pivotButton="0" quotePrefix="0" xfId="0"/>
    <xf numFmtId="0" fontId="20" fillId="0" borderId="1" pivotButton="0" quotePrefix="0" xfId="0"/>
    <xf numFmtId="0" fontId="3" fillId="19" borderId="0" pivotButton="0" quotePrefix="0" xfId="0"/>
    <xf numFmtId="0" fontId="18" fillId="13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22" fillId="0" borderId="0" applyAlignment="1" pivotButton="0" quotePrefix="0" xfId="0">
      <alignment vertical="top"/>
    </xf>
    <xf numFmtId="0" fontId="12" fillId="0" borderId="0" applyAlignment="1" pivotButton="0" quotePrefix="0" xfId="0">
      <alignment vertical="center" wrapText="1"/>
    </xf>
    <xf numFmtId="0" fontId="20" fillId="0" borderId="1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3" fillId="0" borderId="4" pivotButton="0" quotePrefix="0" xfId="0"/>
    <xf numFmtId="0" fontId="4" fillId="21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vertical="center" wrapText="1"/>
    </xf>
    <xf numFmtId="0" fontId="18" fillId="6" borderId="3" applyAlignment="1" pivotButton="0" quotePrefix="0" xfId="0">
      <alignment horizontal="center" vertical="center" wrapText="1"/>
    </xf>
    <xf numFmtId="0" fontId="3" fillId="21" borderId="1" pivotButton="0" quotePrefix="0" xfId="0"/>
    <xf numFmtId="0" fontId="3" fillId="22" borderId="1" pivotButton="0" quotePrefix="0" xfId="0"/>
    <xf numFmtId="0" fontId="13" fillId="0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vertical="center" wrapText="1"/>
    </xf>
    <xf numFmtId="0" fontId="3" fillId="22" borderId="1" applyAlignment="1" pivotButton="0" quotePrefix="0" xfId="0">
      <alignment horizontal="left" wrapText="1"/>
    </xf>
    <xf numFmtId="0" fontId="18" fillId="3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left" vertical="top" wrapText="1"/>
    </xf>
    <xf numFmtId="0" fontId="12" fillId="22" borderId="1" applyAlignment="1" pivotButton="0" quotePrefix="0" xfId="0">
      <alignment horizontal="left" vertical="center" wrapText="1"/>
    </xf>
    <xf numFmtId="0" fontId="3" fillId="23" borderId="1" pivotButton="0" quotePrefix="0" xfId="0"/>
    <xf numFmtId="0" fontId="12" fillId="23" borderId="1" pivotButton="0" quotePrefix="0" xfId="0"/>
    <xf numFmtId="14" fontId="3" fillId="0" borderId="1" pivotButton="0" quotePrefix="0" xfId="0"/>
    <xf numFmtId="14" fontId="3" fillId="23" borderId="1" pivotButton="0" quotePrefix="0" xfId="0"/>
    <xf numFmtId="0" fontId="8" fillId="18" borderId="1" applyAlignment="1" pivotButton="0" quotePrefix="0" xfId="0">
      <alignment vertical="center" wrapText="1"/>
    </xf>
    <xf numFmtId="0" fontId="15" fillId="18" borderId="2" applyAlignment="1" pivotButton="0" quotePrefix="0" xfId="0">
      <alignment vertical="center" wrapText="1"/>
    </xf>
    <xf numFmtId="0" fontId="10" fillId="18" borderId="1" applyAlignment="1" pivotButton="0" quotePrefix="0" xfId="0">
      <alignment horizontal="left" vertical="center" wrapText="1"/>
    </xf>
    <xf numFmtId="0" fontId="1" fillId="18" borderId="1" applyAlignment="1" pivotButton="0" quotePrefix="0" xfId="0">
      <alignment vertical="center" wrapText="1"/>
    </xf>
    <xf numFmtId="0" fontId="1" fillId="18" borderId="1" applyAlignment="1" pivotButton="0" quotePrefix="0" xfId="0">
      <alignment horizontal="left" vertical="center" wrapText="1"/>
    </xf>
    <xf numFmtId="0" fontId="25" fillId="2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Stand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banking.raiffeisen.at/group/privaterbgtir/id200000000/id201000000/konten/zvkonten/zvkontenuebersicht?p_p_id=kontoinfo_WAR_kontoinfoportlet_INSTANCE_AbP1&amp;p_p_lifecycle=0&amp;p_p_state=normal&amp;p_p_mode=view&amp;p_p_col_id=column-2&amp;p_p_col_count=1&amp;_kontoinfo_WAR_kontoinfoportlet_INSTANCE_AbP1_flowid=konten&amp;_kontoinfo_WAR_kontoinfoportlet_INSTANCE_AbP1_execution=e1s1" TargetMode="External" Id="rId1" /><Relationship Type="http://schemas.openxmlformats.org/officeDocument/2006/relationships/hyperlink" Target="https://banking.raiffeisen.at/group/privaterbgtir/id200000000/id201000000/id201010000?portletRefresh=view" TargetMode="External" Id="rId2" /><Relationship Type="http://schemas.openxmlformats.org/officeDocument/2006/relationships/hyperlink" Target="https://hypoonline.hypotirol.com/appl/ebpbfc/giro/umsaetze/aktuell.html?konto=30055368152&amp;token=JgkePComgarpY0lR0D*EvPbcGmXN6iQ3M4RiKIqF5LyvROO0VQX6qEB26HnpmFX1InGIZIRf9O6aFYeRz09rTmMDPJdO98QLj--" TargetMode="External" Id="rId3" /><Relationship Type="http://schemas.openxmlformats.org/officeDocument/2006/relationships/hyperlink" Target="https://hypoonline.hypotirol.com/appl/ebpbfc/finanzierung/umsaetze/aktuell.html?konto=30253220410&amp;token=PuLktDomgarZb9uGj*HPD_5uhXaHttN2XRVN2mY_cgdmQMSt3yR3M4PysnkaFroYtG_RRZlyAYhj8HMFSS_OcfCpqP7uDEa5A--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banking.raiffeisen.at/group/privaterbgtir/id200000000/id201000000/konten/zvkonten/zvkontenuebersicht?p_p_id=kontoinfo_WAR_kontoinfoportlet_INSTANCE_Qc0Z&amp;p_p_lifecycle=0&amp;p_p_state=normal&amp;p_p_mode=view&amp;p_p_col_id=column-2&amp;p_p_col_count=1&amp;_kontoinfo_WAR_kontoinfoportlet_INSTANCE_Qc0Z_flowid=konten&amp;_kontoinfo_WAR_kontoinfoportlet_INSTANCE_Qc0Z_execution=e1s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H108"/>
  <sheetViews>
    <sheetView tabSelected="1" zoomScale="145" zoomScaleNormal="145" workbookViewId="0">
      <pane ySplit="1" topLeftCell="A2" activePane="bottomLeft" state="frozen"/>
      <selection pane="bottomLeft" activeCell="C25" sqref="C25"/>
    </sheetView>
  </sheetViews>
  <sheetFormatPr baseColWidth="10" defaultColWidth="18.42578125" defaultRowHeight="11.25"/>
  <cols>
    <col width="3.28515625" bestFit="1" customWidth="1" style="1" min="1" max="2"/>
    <col width="42.28515625" customWidth="1" style="1" min="3" max="3"/>
    <col width="21.140625" bestFit="1" customWidth="1" style="1" min="4" max="4"/>
    <col width="15.42578125" bestFit="1" customWidth="1" style="1" min="5" max="5"/>
    <col width="21.140625" bestFit="1" customWidth="1" style="1" min="6" max="6"/>
    <col width="25.42578125" customWidth="1" style="23" min="7" max="7"/>
    <col width="66.28515625" bestFit="1" customWidth="1" style="1" min="8" max="8"/>
    <col width="21.7109375" bestFit="1" customWidth="1" style="1" min="9" max="9"/>
    <col width="26.5703125" bestFit="1" customWidth="1" style="1" min="10" max="10"/>
    <col width="18.42578125" customWidth="1" style="1" min="11" max="16384"/>
  </cols>
  <sheetData>
    <row r="1" ht="20.25" customFormat="1" customHeight="1" s="26">
      <c r="A1" t="inlineStr">
        <is>
          <t>Nr</t>
        </is>
      </c>
      <c r="B1" t="inlineStr">
        <is>
          <t>Originaldatei</t>
        </is>
      </c>
      <c r="C1" t="inlineStr">
        <is>
          <t>Neuer Name</t>
        </is>
      </c>
      <c r="D1" t="inlineStr">
        <is>
          <t>Status</t>
        </is>
      </c>
      <c r="E1" t="inlineStr">
        <is>
          <t>Hinweis</t>
        </is>
      </c>
    </row>
    <row r="2">
      <c r="A2" s="4" t="inlineStr">
        <is>
          <t>HK</t>
        </is>
      </c>
      <c r="B2" s="4" t="inlineStr">
        <is>
          <t>BV</t>
        </is>
      </c>
      <c r="C2" s="4" t="inlineStr">
        <is>
          <t>Projekt</t>
        </is>
      </c>
      <c r="D2" s="4" t="inlineStr">
        <is>
          <t>Inhaber</t>
        </is>
      </c>
      <c r="E2" s="4" t="inlineStr">
        <is>
          <t>Bank</t>
        </is>
      </c>
      <c r="F2" s="4" t="inlineStr">
        <is>
          <t>IBAN</t>
        </is>
      </c>
      <c r="G2" s="4" t="inlineStr">
        <is>
          <t>Rahmen TEUR</t>
        </is>
      </c>
      <c r="H2" s="4" t="inlineStr">
        <is>
          <t>Vermerk</t>
        </is>
      </c>
    </row>
    <row r="3">
      <c r="A3" s="11" t="inlineStr">
        <is>
          <t>HK</t>
        </is>
      </c>
      <c r="B3" s="11" t="n">
        <v>87</v>
      </c>
      <c r="C3" s="5" t="inlineStr">
        <is>
          <t>Fieberbrunn, Verrechnungskonto</t>
        </is>
      </c>
      <c r="D3" s="9" t="inlineStr">
        <is>
          <t>5 Berge Blick Immo</t>
        </is>
      </c>
      <c r="E3" s="5" t="inlineStr">
        <is>
          <t>Sparkasse Kitzbühel</t>
        </is>
      </c>
      <c r="F3" s="5" t="inlineStr">
        <is>
          <t>AT20 2050 5000 0034 2378</t>
        </is>
      </c>
      <c r="G3" s="21" t="n"/>
      <c r="H3" s="29" t="inlineStr">
        <is>
          <t>alle Zahlungen, Zinsen und Spesen</t>
        </is>
      </c>
    </row>
    <row r="4">
      <c r="A4" s="11" t="n"/>
      <c r="B4" s="11" t="n">
        <v>87</v>
      </c>
      <c r="C4" s="5" t="inlineStr">
        <is>
          <t>Fieberbrunn, Finanzierungskonto</t>
        </is>
      </c>
      <c r="D4" s="9" t="inlineStr">
        <is>
          <t>5 Berge Blick Immo</t>
        </is>
      </c>
      <c r="E4" s="5" t="inlineStr">
        <is>
          <t>Sparkasse Kitzbühel</t>
        </is>
      </c>
      <c r="F4" s="5" t="inlineStr">
        <is>
          <t>AT97 2050 5000 0732 5962</t>
        </is>
      </c>
      <c r="G4" s="21" t="n"/>
      <c r="H4" s="29" t="n"/>
    </row>
    <row r="5">
      <c r="A5" s="11" t="n"/>
      <c r="B5" s="11" t="n">
        <v>51</v>
      </c>
      <c r="C5" s="5" t="inlineStr">
        <is>
          <t>Seefeld, Tirolerhof</t>
        </is>
      </c>
      <c r="D5" s="9" t="inlineStr">
        <is>
          <t>FS Zwei GmbH</t>
        </is>
      </c>
      <c r="E5" s="5" t="inlineStr">
        <is>
          <t>Tispa</t>
        </is>
      </c>
      <c r="F5" s="5" t="inlineStr">
        <is>
          <t>AT62 2050 3033 0237 0915</t>
        </is>
      </c>
      <c r="G5" s="21" t="inlineStr">
        <is>
          <t>6.300</t>
        </is>
      </c>
      <c r="H5" s="29" t="n"/>
    </row>
    <row r="6">
      <c r="A6" s="11" t="inlineStr">
        <is>
          <t xml:space="preserve">HK </t>
        </is>
      </c>
      <c r="B6" s="11" t="n">
        <v>89</v>
      </c>
      <c r="C6" s="5" t="inlineStr">
        <is>
          <t>Geschäftskonto</t>
        </is>
      </c>
      <c r="D6" s="9" t="inlineStr">
        <is>
          <t>Hornblick Dev.</t>
        </is>
      </c>
      <c r="E6" s="5" t="inlineStr">
        <is>
          <t>Tispa</t>
        </is>
      </c>
      <c r="F6" s="5" t="inlineStr">
        <is>
          <t>AT61 2050 3033 0284 8852</t>
        </is>
      </c>
      <c r="G6" s="21" t="n">
        <v>3300</v>
      </c>
      <c r="H6" s="29" t="n"/>
    </row>
    <row r="7">
      <c r="A7" s="11" t="inlineStr">
        <is>
          <t xml:space="preserve">HK </t>
        </is>
      </c>
      <c r="B7" s="11" t="n"/>
      <c r="C7" s="5" t="inlineStr">
        <is>
          <t>Geschäftskonto</t>
        </is>
      </c>
      <c r="D7" s="19" t="inlineStr">
        <is>
          <t>MBP</t>
        </is>
      </c>
      <c r="E7" s="5" t="inlineStr">
        <is>
          <t>Hypo Tirol</t>
        </is>
      </c>
      <c r="F7" s="5" t="inlineStr">
        <is>
          <t>AT47 5700 0300 5562 2415</t>
        </is>
      </c>
      <c r="G7" s="21" t="inlineStr">
        <is>
          <t>Pluskonto</t>
        </is>
      </c>
      <c r="H7" s="29" t="n"/>
    </row>
    <row r="8">
      <c r="A8" s="11" t="n">
        <v>24</v>
      </c>
      <c r="B8" s="11" t="n">
        <v>71</v>
      </c>
      <c r="C8" s="5" t="inlineStr">
        <is>
          <t>Westendorf</t>
        </is>
      </c>
      <c r="D8" s="19" t="inlineStr">
        <is>
          <t>MBP</t>
        </is>
      </c>
      <c r="E8" s="5" t="inlineStr">
        <is>
          <t>Spa Kitzbühel</t>
        </is>
      </c>
      <c r="F8" s="5" t="inlineStr">
        <is>
          <t>AT87 2050 5000 0731 6151</t>
        </is>
      </c>
      <c r="G8" s="21" t="inlineStr">
        <is>
          <t>1.400</t>
        </is>
      </c>
      <c r="H8" s="84" t="inlineStr">
        <is>
          <t>Zahlungen werden vom HK der MBP getätigt- einbinden, Abstattungskredit</t>
        </is>
      </c>
    </row>
    <row r="9">
      <c r="A9" s="11" t="n"/>
      <c r="B9" s="11" t="n">
        <v>90</v>
      </c>
      <c r="C9" s="5" t="inlineStr">
        <is>
          <t>Finanzierungskonto, Schwaz Linea</t>
        </is>
      </c>
      <c r="D9" s="19" t="inlineStr">
        <is>
          <t>MBP</t>
        </is>
      </c>
      <c r="E9" s="5" t="inlineStr">
        <is>
          <t>RLB</t>
        </is>
      </c>
      <c r="F9" s="5" t="inlineStr">
        <is>
          <t>AT88 3600 0000 0089 0590</t>
        </is>
      </c>
      <c r="G9" s="21" t="n"/>
      <c r="H9" s="29" t="n"/>
    </row>
    <row r="10">
      <c r="A10" s="11" t="n"/>
      <c r="B10" s="11" t="n">
        <v>91</v>
      </c>
      <c r="C10" s="5" t="inlineStr">
        <is>
          <t>Finanzierungskonto, Am Lohbach</t>
        </is>
      </c>
      <c r="D10" s="19" t="inlineStr">
        <is>
          <t>MBP</t>
        </is>
      </c>
      <c r="E10" s="5" t="inlineStr">
        <is>
          <t>RA Tirol Mitte West</t>
        </is>
      </c>
      <c r="F10" s="5" t="inlineStr">
        <is>
          <t>AT51 3633 6000 0021 2225</t>
        </is>
      </c>
      <c r="G10" s="21" t="inlineStr">
        <is>
          <t>2.300.000</t>
        </is>
      </c>
      <c r="H10" s="29" t="n"/>
    </row>
    <row r="11">
      <c r="A11" s="11" t="n"/>
      <c r="B11" s="11" t="n">
        <v>92</v>
      </c>
      <c r="C11" s="5" t="inlineStr">
        <is>
          <t>Baukonto, Schneeburggasse</t>
        </is>
      </c>
      <c r="D11" s="19" t="inlineStr">
        <is>
          <t>MBP</t>
        </is>
      </c>
      <c r="E11" s="5" t="inlineStr">
        <is>
          <t>RA Tirol Mitte West</t>
        </is>
      </c>
      <c r="F11" s="5" t="inlineStr">
        <is>
          <t>AT09 3633 6000 0021 2787</t>
        </is>
      </c>
      <c r="G11" s="21" t="inlineStr">
        <is>
          <t>2.200.000</t>
        </is>
      </c>
      <c r="H11" s="29" t="n"/>
    </row>
    <row r="12">
      <c r="A12" s="11" t="n"/>
      <c r="B12" s="11" t="n">
        <v>94</v>
      </c>
      <c r="C12" s="5" t="inlineStr">
        <is>
          <t>Vögelebichl 62</t>
        </is>
      </c>
      <c r="D12" s="19" t="inlineStr">
        <is>
          <t>MBP</t>
        </is>
      </c>
      <c r="E12" s="5" t="inlineStr">
        <is>
          <t xml:space="preserve">Sparkasse Schwaz </t>
        </is>
      </c>
      <c r="F12" s="5" t="inlineStr">
        <is>
          <t>AT21 2051 0000 0009 6925</t>
        </is>
      </c>
      <c r="G12" s="21" t="n"/>
      <c r="H12" s="29" t="n"/>
    </row>
    <row r="13">
      <c r="A13" s="11" t="inlineStr">
        <is>
          <t>HK</t>
        </is>
      </c>
      <c r="B13" s="11" t="n"/>
      <c r="C13" s="5" t="inlineStr">
        <is>
          <t>Geschäftskonto</t>
        </is>
      </c>
      <c r="D13" s="68" t="inlineStr">
        <is>
          <t>MIB</t>
        </is>
      </c>
      <c r="E13" s="5" t="inlineStr">
        <is>
          <t>Tispa</t>
        </is>
      </c>
      <c r="F13" s="5" t="inlineStr">
        <is>
          <t>AT98 2050 3033 0325 0348</t>
        </is>
      </c>
      <c r="G13" s="21" t="n"/>
      <c r="H13" s="29" t="n"/>
    </row>
    <row r="14">
      <c r="A14" s="11" t="inlineStr">
        <is>
          <t xml:space="preserve">HK </t>
        </is>
      </c>
      <c r="B14" s="11" t="n"/>
      <c r="C14" s="5" t="inlineStr">
        <is>
          <t>Geschäftskonto</t>
        </is>
      </c>
      <c r="D14" s="12" t="inlineStr">
        <is>
          <t>MH</t>
        </is>
      </c>
      <c r="E14" s="5" t="inlineStr">
        <is>
          <t>Bawag</t>
        </is>
      </c>
      <c r="F14" s="5" t="inlineStr">
        <is>
          <t>AT37 1400 0668 1015 2991</t>
        </is>
      </c>
      <c r="G14" s="21" t="n"/>
      <c r="H14" s="34" t="inlineStr">
        <is>
          <t>ab 08.08.2023, rein zur Kapitalanlage da hohe Verzinsung vereinbart</t>
        </is>
      </c>
    </row>
    <row r="15">
      <c r="A15" s="11" t="inlineStr">
        <is>
          <t xml:space="preserve">HK </t>
        </is>
      </c>
      <c r="B15" s="11" t="n"/>
      <c r="C15" s="5" t="inlineStr">
        <is>
          <t>Geschäftskonto</t>
        </is>
      </c>
      <c r="D15" s="12" t="inlineStr">
        <is>
          <t>MH</t>
        </is>
      </c>
      <c r="E15" s="5" t="inlineStr">
        <is>
          <t>Hypo Tirol</t>
        </is>
      </c>
      <c r="F15" s="5" t="inlineStr">
        <is>
          <t>AT96 5700 0300 5553 7531</t>
        </is>
      </c>
      <c r="G15" s="21" t="inlineStr">
        <is>
          <t>Pluskonto</t>
        </is>
      </c>
      <c r="H15" s="34" t="n"/>
    </row>
    <row r="16">
      <c r="A16" s="11" t="inlineStr">
        <is>
          <t xml:space="preserve">HK </t>
        </is>
      </c>
      <c r="B16" s="11" t="n"/>
      <c r="C16" s="5" t="inlineStr">
        <is>
          <t>Konto Kündigungsgeld</t>
        </is>
      </c>
      <c r="D16" s="12" t="inlineStr">
        <is>
          <t>MH</t>
        </is>
      </c>
      <c r="E16" s="5" t="inlineStr">
        <is>
          <t>RLB Tirol</t>
        </is>
      </c>
      <c r="F16" s="5" t="inlineStr">
        <is>
          <t>AT86 3600 0431 0069 4307</t>
        </is>
      </c>
      <c r="G16" s="21" t="n"/>
      <c r="H16" s="29" t="inlineStr">
        <is>
          <t xml:space="preserve">rein zur Kapitalanlage da hohe Verzinsung vereinbart // Kontoschließung beantragt 10.04.24 </t>
        </is>
      </c>
    </row>
    <row r="17">
      <c r="A17" s="11" t="n"/>
      <c r="B17" s="11" t="n"/>
      <c r="C17" s="5" t="inlineStr">
        <is>
          <t>Konto Kündigungsgeld Verrechnungskonto</t>
        </is>
      </c>
      <c r="D17" s="12" t="inlineStr">
        <is>
          <t>MH</t>
        </is>
      </c>
      <c r="E17" s="5" t="inlineStr">
        <is>
          <t>RLB Tirol</t>
        </is>
      </c>
      <c r="F17" s="5" t="inlineStr">
        <is>
          <t>AT37 3600 0000 0069 4307</t>
        </is>
      </c>
      <c r="G17" s="21" t="n"/>
      <c r="H17" s="29" t="n"/>
    </row>
    <row r="18" customFormat="1" s="47">
      <c r="A18" s="11" t="n"/>
      <c r="B18" s="11" t="n"/>
      <c r="C18" s="5" t="inlineStr">
        <is>
          <t>Depot Vermögensverwaltung</t>
        </is>
      </c>
      <c r="D18" s="12" t="inlineStr">
        <is>
          <t>MH</t>
        </is>
      </c>
      <c r="E18" s="5" t="inlineStr">
        <is>
          <t>Tispa</t>
        </is>
      </c>
      <c r="F18" s="5" t="inlineStr">
        <is>
          <t>00088225156/20503</t>
        </is>
      </c>
      <c r="G18" s="21" t="n"/>
      <c r="H18" s="29" t="n"/>
    </row>
    <row r="19" customFormat="1" s="47">
      <c r="A19" s="41" t="n"/>
      <c r="B19" s="41" t="n"/>
      <c r="C19" s="5" t="inlineStr">
        <is>
          <t>Depot Verrechnungskonto</t>
        </is>
      </c>
      <c r="D19" s="12" t="inlineStr">
        <is>
          <t>MH</t>
        </is>
      </c>
      <c r="E19" s="5" t="inlineStr">
        <is>
          <t>Tispa</t>
        </is>
      </c>
      <c r="F19" s="5" t="inlineStr">
        <is>
          <t>AT12 2050 3033 0277 3589</t>
        </is>
      </c>
      <c r="G19" s="37" t="n"/>
      <c r="H19" s="29" t="n"/>
    </row>
    <row r="20" ht="22.5" customHeight="1">
      <c r="A20" s="11" t="inlineStr">
        <is>
          <t xml:space="preserve">HK </t>
        </is>
      </c>
      <c r="B20" s="11" t="n"/>
      <c r="C20" s="21" t="inlineStr">
        <is>
          <t>Moser Immobilien Holding GmbH - Girokonto</t>
        </is>
      </c>
      <c r="D20" s="12" t="inlineStr">
        <is>
          <t>MH</t>
        </is>
      </c>
      <c r="E20" s="5" t="inlineStr">
        <is>
          <t>Tispa</t>
        </is>
      </c>
      <c r="F20" s="5" t="inlineStr">
        <is>
          <t>AT07 2050 3033 0308 6601</t>
        </is>
      </c>
      <c r="G20" s="37" t="n"/>
      <c r="H20" s="29" t="inlineStr">
        <is>
          <t>neu 11.04.2024 -</t>
        </is>
      </c>
    </row>
    <row r="21">
      <c r="A21" s="11" t="n"/>
      <c r="B21" s="11" t="n"/>
      <c r="C21" s="5" t="inlineStr">
        <is>
          <t>Haftungskredit KAUTION Büro SpaPla 5
Kosten werden von BTV 6071 gebucht</t>
        </is>
      </c>
      <c r="D21" s="12" t="inlineStr">
        <is>
          <t>MH</t>
        </is>
      </c>
      <c r="E21" s="5" t="inlineStr">
        <is>
          <t>BTV</t>
        </is>
      </c>
      <c r="F21" s="5" t="inlineStr">
        <is>
          <t>AT17 1600 0009 0013 5114</t>
        </is>
      </c>
      <c r="G21" s="21" t="n">
        <v>29.305</v>
      </c>
      <c r="H21" s="29" t="n"/>
    </row>
    <row r="22">
      <c r="A22" s="11" t="n"/>
      <c r="B22" s="11" t="n"/>
      <c r="C22" s="5" t="inlineStr">
        <is>
          <t>Abstattungskredit VW ID.4</t>
        </is>
      </c>
      <c r="D22" s="12" t="inlineStr">
        <is>
          <t>MH</t>
        </is>
      </c>
      <c r="E22" s="5" t="inlineStr">
        <is>
          <t>Tispa</t>
        </is>
      </c>
      <c r="F22" s="5" t="inlineStr">
        <is>
          <t>AT54 2050 3033 3170 9679</t>
        </is>
      </c>
      <c r="G22" s="21" t="n">
        <v>45</v>
      </c>
      <c r="H22" s="29" t="n"/>
    </row>
    <row r="23">
      <c r="A23" s="11" t="inlineStr">
        <is>
          <t xml:space="preserve">HK </t>
        </is>
      </c>
      <c r="B23" s="11" t="n"/>
      <c r="C23" s="5" t="inlineStr">
        <is>
          <t>Sammelkautionskonto</t>
        </is>
      </c>
      <c r="D23" s="12" t="inlineStr">
        <is>
          <t>MH</t>
        </is>
      </c>
      <c r="E23" s="5" t="inlineStr">
        <is>
          <t>Tispa</t>
        </is>
      </c>
      <c r="F23" s="5" t="inlineStr">
        <is>
          <t>AT38 2050 3033 0316 1412</t>
        </is>
      </c>
      <c r="G23" s="21" t="n"/>
      <c r="H23" s="29" t="inlineStr">
        <is>
          <t>ab 04.10.2024 eröffnet</t>
        </is>
      </c>
    </row>
    <row r="24">
      <c r="A24" s="11" t="inlineStr">
        <is>
          <t>HK</t>
        </is>
      </c>
      <c r="B24" s="11" t="n"/>
      <c r="C24" s="5" t="inlineStr">
        <is>
          <t>Geschäftskonto</t>
        </is>
      </c>
      <c r="D24" s="93" t="inlineStr">
        <is>
          <t>MH</t>
        </is>
      </c>
      <c r="E24" s="5" t="inlineStr">
        <is>
          <t>BTV</t>
        </is>
      </c>
      <c r="F24" s="5" t="inlineStr">
        <is>
          <t>AT83 1600 0001 0073 6071</t>
        </is>
      </c>
      <c r="G24" s="21" t="n"/>
      <c r="H24" s="29" t="n"/>
    </row>
    <row r="25">
      <c r="A25" s="11" t="inlineStr">
        <is>
          <t xml:space="preserve">HK </t>
        </is>
      </c>
      <c r="B25" s="11" t="n">
        <v>28</v>
      </c>
      <c r="C25" s="5" t="inlineStr">
        <is>
          <t>Kranebitterhof + Geschäftskonto</t>
        </is>
      </c>
      <c r="D25" s="9" t="inlineStr">
        <is>
          <t>MIGNA</t>
        </is>
      </c>
      <c r="E25" s="5" t="inlineStr">
        <is>
          <t>RA Hall</t>
        </is>
      </c>
      <c r="F25" s="5" t="inlineStr">
        <is>
          <t>AT46 3636 2000 0015 6992</t>
        </is>
      </c>
      <c r="G25" s="21" t="inlineStr">
        <is>
          <t>6.800 + 300</t>
        </is>
      </c>
      <c r="H25" s="29" t="n"/>
    </row>
    <row r="26">
      <c r="A26" s="11" t="inlineStr">
        <is>
          <t xml:space="preserve">HK </t>
        </is>
      </c>
      <c r="B26" s="11" t="n"/>
      <c r="C26" s="5" t="inlineStr">
        <is>
          <t>Geschäftskonto</t>
        </is>
      </c>
      <c r="D26" s="15" t="inlineStr">
        <is>
          <t>MIW</t>
        </is>
      </c>
      <c r="E26" s="5" t="inlineStr">
        <is>
          <t>Erste</t>
        </is>
      </c>
      <c r="F26" s="5" t="inlineStr">
        <is>
          <t>AT59 2011 1842 8995 6503</t>
        </is>
      </c>
      <c r="G26" s="21" t="inlineStr">
        <is>
          <t>Pluskonto</t>
        </is>
      </c>
      <c r="H26" s="29" t="n"/>
    </row>
    <row r="27">
      <c r="A27" s="11" t="n"/>
      <c r="B27" s="11" t="n">
        <v>56</v>
      </c>
      <c r="C27" s="5" t="inlineStr">
        <is>
          <t>Anastasius Grüng. (FV ad 0789) -  Fixvorlage, Abstattung</t>
        </is>
      </c>
      <c r="D27" s="15" t="inlineStr">
        <is>
          <t>MIW</t>
        </is>
      </c>
      <c r="E27" s="5" t="inlineStr">
        <is>
          <t>BTV</t>
        </is>
      </c>
      <c r="F27" s="5" t="inlineStr">
        <is>
          <t>AT92 1600 0001 0065 0258</t>
        </is>
      </c>
      <c r="G27" s="21" t="inlineStr">
        <is>
          <t>4.530</t>
        </is>
      </c>
      <c r="H27" s="29" t="n"/>
    </row>
    <row r="28">
      <c r="A28" s="11" t="n"/>
      <c r="B28" s="11" t="n">
        <v>56</v>
      </c>
      <c r="C28" s="5" t="inlineStr">
        <is>
          <t>Wien, Anastasius-GrünG., Kontokorrent</t>
        </is>
      </c>
      <c r="D28" s="15" t="inlineStr">
        <is>
          <t>MIW</t>
        </is>
      </c>
      <c r="E28" s="5" t="inlineStr">
        <is>
          <t>BTV</t>
        </is>
      </c>
      <c r="F28" s="5" t="inlineStr">
        <is>
          <t>AT14 1600 0001 0065 0789</t>
        </is>
      </c>
      <c r="H28" s="29" t="inlineStr">
        <is>
          <t>Projektkonto</t>
        </is>
      </c>
    </row>
    <row r="29">
      <c r="A29" s="11" t="n"/>
      <c r="B29" s="11" t="n">
        <v>78</v>
      </c>
      <c r="C29" s="5" t="inlineStr">
        <is>
          <t>Wien, Davidgasse</t>
        </is>
      </c>
      <c r="D29" s="15" t="inlineStr">
        <is>
          <t>MIW DAV</t>
        </is>
      </c>
      <c r="E29" s="5" t="inlineStr">
        <is>
          <t>RLB Stmk</t>
        </is>
      </c>
      <c r="F29" s="5" t="inlineStr">
        <is>
          <t>AT05 3800 0001 0087 1236</t>
        </is>
      </c>
      <c r="G29" s="21" t="inlineStr">
        <is>
          <t>3.860</t>
        </is>
      </c>
      <c r="H29" s="29" t="n"/>
    </row>
    <row r="30">
      <c r="A30" s="11" t="n"/>
      <c r="B30" s="11" t="n">
        <v>84</v>
      </c>
      <c r="C30" s="5" t="inlineStr">
        <is>
          <t>Wien, Lindengasse, Projektkonto</t>
        </is>
      </c>
      <c r="D30" s="15" t="inlineStr">
        <is>
          <t>MIW Lind</t>
        </is>
      </c>
      <c r="E30" s="5" t="inlineStr">
        <is>
          <t>Erste</t>
        </is>
      </c>
      <c r="F30" s="5" t="inlineStr">
        <is>
          <t>AT25 2011 1846 1503 3700</t>
        </is>
      </c>
      <c r="G30" s="21" t="n"/>
      <c r="H30" s="29" t="n"/>
    </row>
    <row r="31">
      <c r="A31" s="11" t="n"/>
      <c r="B31" s="11" t="n">
        <v>84</v>
      </c>
      <c r="C31" s="5" t="inlineStr">
        <is>
          <t>Wien, Lindengasse Finanzierung Grundkauf</t>
        </is>
      </c>
      <c r="D31" s="15" t="inlineStr">
        <is>
          <t>MIW Lind</t>
        </is>
      </c>
      <c r="E31" s="5" t="inlineStr">
        <is>
          <t>Erste</t>
        </is>
      </c>
      <c r="F31" s="5" t="inlineStr">
        <is>
          <t>AT37 2011 1846 1503 6200</t>
        </is>
      </c>
      <c r="G31" s="21" t="n"/>
      <c r="H31" s="29" t="n"/>
    </row>
    <row r="32">
      <c r="A32" s="11" t="n"/>
      <c r="B32" s="11" t="n">
        <v>74</v>
      </c>
      <c r="C32" s="5" t="inlineStr">
        <is>
          <t>1130 Wien, Jaunerstraße</t>
        </is>
      </c>
      <c r="D32" s="15" t="inlineStr">
        <is>
          <t>MIW NAPO</t>
        </is>
      </c>
      <c r="E32" s="5" t="inlineStr">
        <is>
          <t>Hypo NÖ</t>
        </is>
      </c>
      <c r="F32" s="5" t="inlineStr">
        <is>
          <t>AT42 5300 0085 5500 3715</t>
        </is>
      </c>
      <c r="G32" s="21" t="inlineStr">
        <is>
          <t>(keine Daten verfügbar)</t>
        </is>
      </c>
      <c r="H32" s="29" t="n"/>
    </row>
    <row r="33" ht="14.45" customHeight="1">
      <c r="A33" s="11" t="n"/>
      <c r="B33" s="11" t="n">
        <v>74</v>
      </c>
      <c r="C33" s="5" t="inlineStr">
        <is>
          <t>1130, Jaunerstraße, Projektkonto</t>
        </is>
      </c>
      <c r="D33" s="15" t="inlineStr">
        <is>
          <t>MIW NAPO</t>
        </is>
      </c>
      <c r="E33" s="5" t="inlineStr">
        <is>
          <t>Hypo NÖ</t>
        </is>
      </c>
      <c r="F33" s="5" t="inlineStr">
        <is>
          <t>AT64 5300 0085 5500 3707</t>
        </is>
      </c>
      <c r="G33" s="21" t="inlineStr">
        <is>
          <t>9.000</t>
        </is>
      </c>
      <c r="H33" s="29" t="inlineStr">
        <is>
          <t>Grundankauf</t>
        </is>
      </c>
    </row>
    <row r="34">
      <c r="A34" s="11" t="inlineStr">
        <is>
          <t xml:space="preserve">HK </t>
        </is>
      </c>
      <c r="B34" s="11" t="n"/>
      <c r="C34" s="5" t="inlineStr">
        <is>
          <t>Geschäftskonto</t>
        </is>
      </c>
      <c r="D34" s="15" t="inlineStr">
        <is>
          <t>MIW NAPO ZwHolding</t>
        </is>
      </c>
      <c r="E34" s="5" t="inlineStr">
        <is>
          <t>Hypo NÖ</t>
        </is>
      </c>
      <c r="F34" s="5" t="inlineStr">
        <is>
          <t>AT23 5300 0085 5500 3766</t>
        </is>
      </c>
      <c r="G34" s="21" t="inlineStr">
        <is>
          <t>Pluskonto</t>
        </is>
      </c>
      <c r="H34" s="29" t="n"/>
    </row>
    <row r="35">
      <c r="A35" s="11" t="n"/>
      <c r="B35" s="11" t="n">
        <v>70</v>
      </c>
      <c r="C35" s="5" t="inlineStr">
        <is>
          <t>Rauchfangkehrer Baurahmen</t>
        </is>
      </c>
      <c r="D35" s="15" t="inlineStr">
        <is>
          <t>MIW RG</t>
        </is>
      </c>
      <c r="E35" s="5" t="inlineStr">
        <is>
          <t>Spa Stmk</t>
        </is>
      </c>
      <c r="F35" s="5" t="inlineStr">
        <is>
          <t>AT59 2081 5000 4470 1621</t>
        </is>
      </c>
      <c r="G35" s="21" t="n">
        <v>0</v>
      </c>
      <c r="H35" s="34" t="inlineStr">
        <is>
          <t>! Girokonto</t>
        </is>
      </c>
    </row>
    <row r="36">
      <c r="A36" s="11" t="n"/>
      <c r="B36" s="11" t="n">
        <v>55</v>
      </c>
      <c r="C36" s="5" t="inlineStr">
        <is>
          <t>St. Johann (FV ad 8865)</t>
        </is>
      </c>
      <c r="D36" s="18" t="inlineStr">
        <is>
          <t>KQE</t>
        </is>
      </c>
      <c r="E36" s="5" t="inlineStr">
        <is>
          <t>BTV</t>
        </is>
      </c>
      <c r="F36" s="5" t="inlineStr">
        <is>
          <t>AT45 1600 0001 0064 8873</t>
        </is>
      </c>
      <c r="G36" s="21" t="inlineStr">
        <is>
          <t>Fixvorlage</t>
        </is>
      </c>
      <c r="H36" s="29" t="n"/>
    </row>
    <row r="37">
      <c r="A37" s="11" t="inlineStr">
        <is>
          <t>HK</t>
        </is>
      </c>
      <c r="B37" s="11" t="n">
        <v>55</v>
      </c>
      <c r="C37" s="5" t="inlineStr">
        <is>
          <t>St. Johann, Kontokorrent</t>
        </is>
      </c>
      <c r="D37" s="14" t="inlineStr">
        <is>
          <t>KQE</t>
        </is>
      </c>
      <c r="E37" s="5" t="inlineStr">
        <is>
          <t>BTV</t>
        </is>
      </c>
      <c r="F37" s="5" t="inlineStr">
        <is>
          <t>AT67 1600 0001 0064 8865</t>
        </is>
      </c>
      <c r="G37" s="23" t="inlineStr">
        <is>
          <t>KK Projektkonto</t>
        </is>
      </c>
      <c r="H37" s="29" t="n"/>
    </row>
    <row r="38" ht="22.5" customHeight="1">
      <c r="A38" s="11" t="inlineStr">
        <is>
          <t xml:space="preserve">HK </t>
        </is>
      </c>
      <c r="B38" s="11" t="n"/>
      <c r="C38" s="5" t="inlineStr">
        <is>
          <t>Geschäftskonto</t>
        </is>
      </c>
      <c r="D38" s="10" t="inlineStr">
        <is>
          <t>MWB</t>
        </is>
      </c>
      <c r="E38" s="5" t="inlineStr">
        <is>
          <t>Hypo Tirol</t>
        </is>
      </c>
      <c r="F38" s="5" t="inlineStr">
        <is>
          <t>AT02 5700 0300 5315 1083</t>
        </is>
      </c>
      <c r="G38" s="21" t="inlineStr">
        <is>
          <t>Pluskonto</t>
        </is>
      </c>
      <c r="H38" s="34" t="n"/>
    </row>
    <row r="39">
      <c r="A39" s="11" t="n"/>
      <c r="B39" s="11" t="n">
        <v>10</v>
      </c>
      <c r="C39" s="5" t="inlineStr">
        <is>
          <t>Colingasse 10 Verrechnungskonto (3 Einheiten - Sterzinger)</t>
        </is>
      </c>
      <c r="D39" s="10" t="inlineStr">
        <is>
          <t>MWB</t>
        </is>
      </c>
      <c r="E39" s="5" t="inlineStr">
        <is>
          <t>Tispa</t>
        </is>
      </c>
      <c r="F39" s="5" t="inlineStr">
        <is>
          <t>AT33 2050 3033 0161 3091</t>
        </is>
      </c>
      <c r="G39" s="21" t="n">
        <v>900</v>
      </c>
      <c r="H39" s="34" t="n"/>
    </row>
    <row r="40">
      <c r="A40" s="11" t="n"/>
      <c r="B40" s="11" t="n">
        <v>18</v>
      </c>
      <c r="C40" s="5" t="inlineStr">
        <is>
          <t>Betriebl. Investitionen / 3 WHG</t>
        </is>
      </c>
      <c r="D40" s="10" t="inlineStr">
        <is>
          <t>MWB</t>
        </is>
      </c>
      <c r="E40" s="5" t="inlineStr">
        <is>
          <t>Tispa</t>
        </is>
      </c>
      <c r="F40" s="5" t="inlineStr">
        <is>
          <t>AT78 2050 3033 3148 9348</t>
        </is>
      </c>
      <c r="G40" s="21" t="n">
        <v>900</v>
      </c>
      <c r="H40" s="29" t="n"/>
    </row>
    <row r="41">
      <c r="A41" s="11" t="n"/>
      <c r="B41" s="11" t="n">
        <v>19</v>
      </c>
      <c r="C41" s="5" t="inlineStr">
        <is>
          <t>Hungerburg</t>
        </is>
      </c>
      <c r="D41" s="10" t="inlineStr">
        <is>
          <t>MWB</t>
        </is>
      </c>
      <c r="E41" s="5" t="inlineStr">
        <is>
          <t>RA Hall</t>
        </is>
      </c>
      <c r="F41" s="5" t="inlineStr">
        <is>
          <t>AT39 3636 2000 0014 0434</t>
        </is>
      </c>
      <c r="G41" s="21" t="inlineStr">
        <is>
          <t>2.330</t>
        </is>
      </c>
      <c r="H41" s="29" t="n"/>
    </row>
    <row r="42">
      <c r="A42" s="11" t="n"/>
      <c r="B42" s="11" t="n">
        <v>36</v>
      </c>
      <c r="C42" s="5" t="inlineStr">
        <is>
          <t>Kautionskonto Riedgasse</t>
        </is>
      </c>
      <c r="D42" s="10" t="inlineStr">
        <is>
          <t>MWB</t>
        </is>
      </c>
      <c r="E42" s="5" t="inlineStr">
        <is>
          <t>Tispa</t>
        </is>
      </c>
      <c r="F42" s="5" t="inlineStr">
        <is>
          <t>AT07 2050 3033 0293 5378</t>
        </is>
      </c>
      <c r="G42" s="21" t="inlineStr">
        <is>
          <t>THK</t>
        </is>
      </c>
      <c r="H42" s="34" t="n"/>
    </row>
    <row r="43">
      <c r="A43" s="11" t="n"/>
      <c r="B43" s="11" t="n">
        <v>36</v>
      </c>
      <c r="C43" s="5" t="inlineStr">
        <is>
          <t>Riedgasse 2 (Finanzierung)</t>
        </is>
      </c>
      <c r="D43" s="10" t="inlineStr">
        <is>
          <t>MWB</t>
        </is>
      </c>
      <c r="E43" s="5" t="inlineStr">
        <is>
          <t>Tispa</t>
        </is>
      </c>
      <c r="F43" s="5" t="inlineStr">
        <is>
          <t>AT61 2050 3033 3113 7350</t>
        </is>
      </c>
      <c r="G43" s="21" t="n">
        <v>500</v>
      </c>
      <c r="H43" s="29" t="n"/>
    </row>
    <row r="44">
      <c r="A44" s="11" t="n"/>
      <c r="B44" s="11" t="n">
        <v>36</v>
      </c>
      <c r="C44" s="5" t="inlineStr">
        <is>
          <t>Riedgasse 2 Mietenkonto und Baurahmen</t>
        </is>
      </c>
      <c r="D44" s="10" t="inlineStr">
        <is>
          <t>MWB</t>
        </is>
      </c>
      <c r="E44" s="5" t="inlineStr">
        <is>
          <t>Tispa</t>
        </is>
      </c>
      <c r="F44" s="5" t="inlineStr">
        <is>
          <t>AT81 2050 3033 0207 7924</t>
        </is>
      </c>
      <c r="G44" s="21" t="inlineStr">
        <is>
          <t>Pluskonto</t>
        </is>
      </c>
      <c r="H44" s="34" t="inlineStr">
        <is>
          <t>Projektkonto</t>
        </is>
      </c>
    </row>
    <row r="45" customFormat="1" s="47">
      <c r="A45" s="11" t="n"/>
      <c r="B45" s="11" t="n">
        <v>40</v>
      </c>
      <c r="C45" s="5" t="inlineStr">
        <is>
          <t>Sistrans</t>
        </is>
      </c>
      <c r="D45" s="10" t="inlineStr">
        <is>
          <t>MWB</t>
        </is>
      </c>
      <c r="E45" s="5" t="inlineStr">
        <is>
          <t>RA Hall</t>
        </is>
      </c>
      <c r="F45" s="5" t="inlineStr">
        <is>
          <t>AT26 3636 2000 0017 5588</t>
        </is>
      </c>
      <c r="G45" s="21" t="inlineStr">
        <is>
          <t>3.300</t>
        </is>
      </c>
      <c r="H45" s="34" t="n"/>
    </row>
    <row r="46">
      <c r="A46" s="11" t="inlineStr">
        <is>
          <t>HK</t>
        </is>
      </c>
      <c r="B46" s="11" t="n">
        <v>59</v>
      </c>
      <c r="C46" s="5" t="inlineStr">
        <is>
          <t>Langkampfen, Verrrechnungskonto</t>
        </is>
      </c>
      <c r="D46" s="16" t="inlineStr">
        <is>
          <t>MWL</t>
        </is>
      </c>
      <c r="E46" s="5" t="inlineStr">
        <is>
          <t>Spa Kufstein</t>
        </is>
      </c>
      <c r="F46" s="5" t="inlineStr">
        <is>
          <t>AT40 2050 6077 0013 2173</t>
        </is>
      </c>
      <c r="G46" s="21" t="inlineStr">
        <is>
          <t>Pluskonto</t>
        </is>
      </c>
      <c r="H46" s="29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>
      <c r="A47" s="11" t="n"/>
      <c r="B47" s="11" t="n">
        <v>59</v>
      </c>
      <c r="C47" s="5" t="inlineStr">
        <is>
          <t>Langkampfen</t>
        </is>
      </c>
      <c r="D47" s="20" t="inlineStr">
        <is>
          <t>MWL</t>
        </is>
      </c>
      <c r="E47" s="5" t="inlineStr">
        <is>
          <t>Spa Kufstein</t>
        </is>
      </c>
      <c r="F47" s="5" t="inlineStr">
        <is>
          <t>AT38 2050 6077 0724 0466</t>
        </is>
      </c>
      <c r="G47" s="21" t="inlineStr">
        <is>
          <t>11.700</t>
        </is>
      </c>
      <c r="H47" s="29" t="n"/>
    </row>
    <row r="48">
      <c r="A48" s="11" t="inlineStr">
        <is>
          <t xml:space="preserve">HK </t>
        </is>
      </c>
      <c r="B48" s="11" t="n"/>
      <c r="C48" s="5" t="inlineStr">
        <is>
          <t>Geschäftskonto</t>
        </is>
      </c>
      <c r="D48" s="8" t="inlineStr">
        <is>
          <t>MWP</t>
        </is>
      </c>
      <c r="E48" s="5" t="inlineStr">
        <is>
          <t>Hypo Tirol</t>
        </is>
      </c>
      <c r="F48" s="5" t="inlineStr">
        <is>
          <t>AT54 5700 0300 5553 9160</t>
        </is>
      </c>
      <c r="G48" s="21" t="inlineStr">
        <is>
          <t>Pluskonto</t>
        </is>
      </c>
      <c r="H48" s="34" t="n"/>
    </row>
    <row r="49">
      <c r="A49" s="11" t="n"/>
      <c r="B49" s="11" t="n">
        <v>42</v>
      </c>
      <c r="C49" s="5" t="inlineStr">
        <is>
          <t>Birgitz Abstattungskredit/Schuldübernahme endfällig</t>
        </is>
      </c>
      <c r="D49" s="8" t="inlineStr">
        <is>
          <t>MWP</t>
        </is>
      </c>
      <c r="E49" s="5" t="inlineStr">
        <is>
          <t>RA Tirol Mitte West</t>
        </is>
      </c>
      <c r="F49" s="5" t="inlineStr">
        <is>
          <t>AT46 3633 6000 2235 0334</t>
        </is>
      </c>
      <c r="G49" s="21" t="n">
        <v>595</v>
      </c>
      <c r="H49" s="29" t="n"/>
    </row>
    <row r="50">
      <c r="A50" s="11" t="n"/>
      <c r="B50" s="11" t="n">
        <v>42</v>
      </c>
      <c r="C50" s="5" t="inlineStr">
        <is>
          <t>Birgitz, Am Bachrain</t>
        </is>
      </c>
      <c r="D50" s="8" t="inlineStr">
        <is>
          <t>MWP</t>
        </is>
      </c>
      <c r="E50" s="5" t="inlineStr">
        <is>
          <t>RA Tirol Mitte West</t>
        </is>
      </c>
      <c r="F50" s="5" t="inlineStr">
        <is>
          <t>AT46 3633 6000 0236 9692</t>
        </is>
      </c>
      <c r="G50" s="21" t="n">
        <v>505</v>
      </c>
      <c r="H50" s="34" t="n"/>
      <c r="I50" s="29" t="n"/>
    </row>
    <row r="51">
      <c r="A51" s="11" t="inlineStr">
        <is>
          <t xml:space="preserve">HK </t>
        </is>
      </c>
      <c r="B51" s="11" t="n"/>
      <c r="C51" s="5" t="inlineStr">
        <is>
          <t>MWP - Haftungsrahmen</t>
        </is>
      </c>
      <c r="D51" s="8" t="inlineStr">
        <is>
          <t>MWP</t>
        </is>
      </c>
      <c r="E51" s="5" t="inlineStr">
        <is>
          <t>VB Tirol</t>
        </is>
      </c>
      <c r="F51" s="5" t="inlineStr">
        <is>
          <t>AT55 4239 0030 0019 1709</t>
        </is>
      </c>
      <c r="G51" s="35" t="n">
        <v>210</v>
      </c>
      <c r="H51" s="87" t="inlineStr">
        <is>
          <t>Haftungsgarantie BV44, endet am 24.07.2027 - kein Auszug</t>
        </is>
      </c>
    </row>
    <row r="52">
      <c r="A52" s="11" t="n"/>
      <c r="B52" s="11" t="n">
        <v>46</v>
      </c>
      <c r="C52" s="5" t="inlineStr">
        <is>
          <t>Hall, Schopperweg</t>
        </is>
      </c>
      <c r="D52" s="8" t="inlineStr">
        <is>
          <t>MWP</t>
        </is>
      </c>
      <c r="E52" s="5" t="inlineStr">
        <is>
          <t>RA Hall</t>
        </is>
      </c>
      <c r="F52" s="5" t="inlineStr">
        <is>
          <t>AT30 3636 2000 0019 4043</t>
        </is>
      </c>
      <c r="G52" s="21" t="inlineStr">
        <is>
          <t>1.900</t>
        </is>
      </c>
      <c r="H52" s="29" t="n"/>
    </row>
    <row r="53">
      <c r="A53" s="11" t="n"/>
      <c r="B53" s="11" t="n">
        <v>48</v>
      </c>
      <c r="C53" s="5" t="inlineStr">
        <is>
          <t>Kranebitterallee 16 (Grundkauf)</t>
        </is>
      </c>
      <c r="D53" s="8" t="inlineStr">
        <is>
          <t>MWP</t>
        </is>
      </c>
      <c r="E53" s="5" t="inlineStr">
        <is>
          <t>Tispa</t>
        </is>
      </c>
      <c r="F53" s="5" t="inlineStr">
        <is>
          <t>AT37 2050 3033 0232 8491</t>
        </is>
      </c>
      <c r="G53" s="21" t="inlineStr">
        <is>
          <t>2.350</t>
        </is>
      </c>
      <c r="H53" s="29" t="n"/>
    </row>
    <row r="54">
      <c r="A54" s="11" t="n"/>
      <c r="B54" s="11" t="n">
        <v>52</v>
      </c>
      <c r="C54" s="5" t="inlineStr">
        <is>
          <t>Lans, Hermannstal</t>
        </is>
      </c>
      <c r="D54" s="8" t="inlineStr">
        <is>
          <t>MWP</t>
        </is>
      </c>
      <c r="E54" s="5" t="inlineStr">
        <is>
          <t>RA Wipptal</t>
        </is>
      </c>
      <c r="F54" s="5" t="inlineStr">
        <is>
          <t>AT22 3632 9000 0008 7361</t>
        </is>
      </c>
      <c r="G54" s="21" t="inlineStr">
        <is>
          <t>1.250</t>
        </is>
      </c>
      <c r="H54" s="29" t="n"/>
    </row>
    <row r="55">
      <c r="A55" s="11" t="n"/>
      <c r="B55" s="11" t="n">
        <v>53</v>
      </c>
      <c r="C55" s="5" t="inlineStr">
        <is>
          <t>Rum, Canisiusweg</t>
        </is>
      </c>
      <c r="D55" s="8" t="inlineStr">
        <is>
          <t>MWP</t>
        </is>
      </c>
      <c r="E55" s="5" t="inlineStr">
        <is>
          <t>Tispa</t>
        </is>
      </c>
      <c r="F55" s="5" t="inlineStr">
        <is>
          <t>AT74 2050 3033 0238 9808</t>
        </is>
      </c>
      <c r="G55" s="21" t="inlineStr">
        <is>
          <t>1.330</t>
        </is>
      </c>
      <c r="H55" s="29" t="n"/>
    </row>
    <row r="56">
      <c r="A56" s="11" t="n"/>
      <c r="B56" s="11" t="n">
        <v>54</v>
      </c>
      <c r="C56" s="5" t="inlineStr">
        <is>
          <t>IBK, Anna-Dengl-Str.</t>
        </is>
      </c>
      <c r="D56" s="8" t="inlineStr">
        <is>
          <t>MWP</t>
        </is>
      </c>
      <c r="E56" s="5" t="inlineStr">
        <is>
          <t>RLB Tirol</t>
        </is>
      </c>
      <c r="F56" s="5" t="inlineStr">
        <is>
          <t>AT59 3600 0000 0092 2831</t>
        </is>
      </c>
      <c r="G56" s="21" t="inlineStr">
        <is>
          <t>1.400</t>
        </is>
      </c>
      <c r="H56" s="29" t="n"/>
    </row>
    <row r="57">
      <c r="A57" s="11" t="n"/>
      <c r="B57" s="11" t="n">
        <v>61</v>
      </c>
      <c r="C57" s="2" t="inlineStr">
        <is>
          <t>Hunoldstraße</t>
        </is>
      </c>
      <c r="D57" s="8" t="inlineStr">
        <is>
          <t>MWP</t>
        </is>
      </c>
      <c r="E57" s="5" t="inlineStr">
        <is>
          <t>Tispa</t>
        </is>
      </c>
      <c r="F57" s="5" t="inlineStr">
        <is>
          <t>AT50 2050 3033 0308 6700</t>
        </is>
      </c>
      <c r="G57" s="21" t="n"/>
      <c r="H57" s="29" t="inlineStr">
        <is>
          <t>neues Konto seit 24.06.2024!</t>
        </is>
      </c>
    </row>
    <row r="58" ht="14.45" customHeight="1">
      <c r="A58" s="11" t="n"/>
      <c r="B58" s="11" t="n">
        <v>67</v>
      </c>
      <c r="C58" s="5" t="inlineStr">
        <is>
          <t>IBK, Schusterbergweg, Verrechnungskonto</t>
        </is>
      </c>
      <c r="D58" s="8" t="inlineStr">
        <is>
          <t>MWP</t>
        </is>
      </c>
      <c r="E58" s="5" t="inlineStr">
        <is>
          <t>VB Tirol</t>
        </is>
      </c>
      <c r="F58" s="5" t="inlineStr">
        <is>
          <t>AT93 4239 0030 0006 3824</t>
        </is>
      </c>
      <c r="G58" s="21" t="inlineStr">
        <is>
          <t>Pluskonto</t>
        </is>
      </c>
      <c r="H58" s="29" t="inlineStr">
        <is>
          <t>Projektkonto</t>
        </is>
      </c>
    </row>
    <row r="59">
      <c r="A59" s="11" t="n"/>
      <c r="B59" s="11" t="n">
        <v>67</v>
      </c>
      <c r="C59" s="5" t="inlineStr">
        <is>
          <t>Schusterbergweg</t>
        </is>
      </c>
      <c r="D59" s="8" t="inlineStr">
        <is>
          <t>MWP</t>
        </is>
      </c>
      <c r="E59" s="5" t="inlineStr">
        <is>
          <t>VB Tirol</t>
        </is>
      </c>
      <c r="F59" s="5" t="inlineStr">
        <is>
          <t>AT49 4239 0032 0008 8995</t>
        </is>
      </c>
      <c r="G59" s="21" t="inlineStr">
        <is>
          <t>2.400</t>
        </is>
      </c>
      <c r="H59" s="29" t="n"/>
    </row>
    <row r="60">
      <c r="A60" s="11" t="n"/>
      <c r="B60" s="11" t="n">
        <v>72</v>
      </c>
      <c r="C60" s="5" t="inlineStr">
        <is>
          <t>Mutters, Frida Innsbrucker Straße</t>
        </is>
      </c>
      <c r="D60" s="8" t="inlineStr">
        <is>
          <t>MWP</t>
        </is>
      </c>
      <c r="E60" s="5" t="inlineStr">
        <is>
          <t>RA Tirol Mitte West</t>
        </is>
      </c>
      <c r="F60" s="5" t="inlineStr">
        <is>
          <t>AT25 3633 6000 0238 9955</t>
        </is>
      </c>
      <c r="G60" s="21" t="n">
        <v>0.4930555555555556</v>
      </c>
      <c r="H60" s="29" t="n"/>
    </row>
    <row r="61">
      <c r="A61" s="11" t="n"/>
      <c r="B61" s="11" t="n">
        <v>82</v>
      </c>
      <c r="C61" s="5" t="inlineStr">
        <is>
          <t>St. Johann, Oberhofen</t>
        </is>
      </c>
      <c r="D61" s="8" t="inlineStr">
        <is>
          <t>MWP</t>
        </is>
      </c>
      <c r="E61" s="5" t="inlineStr">
        <is>
          <t>Spa Kitzbühel</t>
        </is>
      </c>
      <c r="F61" s="5" t="inlineStr">
        <is>
          <t>AT94 2050 5000 0032 5720</t>
        </is>
      </c>
      <c r="G61" s="21" t="inlineStr">
        <is>
          <t>Projektkonto</t>
        </is>
      </c>
      <c r="H61" s="29" t="n"/>
    </row>
    <row r="62">
      <c r="A62" s="11" t="n"/>
      <c r="B62" s="11" t="n">
        <v>82</v>
      </c>
      <c r="C62" s="5" t="inlineStr">
        <is>
          <t>St. Johann, Oberhofen, Finannzierung - Abstattung</t>
        </is>
      </c>
      <c r="D62" s="8" t="inlineStr">
        <is>
          <t>MWP</t>
        </is>
      </c>
      <c r="E62" s="5" t="inlineStr">
        <is>
          <t>Spa Kitzbühel</t>
        </is>
      </c>
      <c r="F62" s="5" t="inlineStr">
        <is>
          <t>AT90 2050 5000 0731 7746</t>
        </is>
      </c>
      <c r="G62" s="21" t="inlineStr">
        <is>
          <t>1.105</t>
        </is>
      </c>
      <c r="H62" s="29" t="n"/>
    </row>
    <row r="63">
      <c r="A63" s="11" t="n"/>
      <c r="B63" s="11" t="n">
        <v>85</v>
      </c>
      <c r="C63" s="5" t="inlineStr">
        <is>
          <t>IBK, Pembaurstraße</t>
        </is>
      </c>
      <c r="D63" s="8" t="inlineStr">
        <is>
          <t>MWP</t>
        </is>
      </c>
      <c r="E63" s="5" t="inlineStr">
        <is>
          <t>RLB Tirol</t>
        </is>
      </c>
      <c r="F63" s="5" t="inlineStr">
        <is>
          <t>AT86 3600 0000 0039 1367</t>
        </is>
      </c>
      <c r="G63" s="21" t="inlineStr">
        <is>
          <t>8.000</t>
        </is>
      </c>
      <c r="H63" s="29" t="n"/>
    </row>
    <row r="64">
      <c r="A64" s="11" t="inlineStr">
        <is>
          <t xml:space="preserve">HK </t>
        </is>
      </c>
      <c r="B64" s="11" t="n"/>
      <c r="C64" s="5" t="inlineStr">
        <is>
          <t>Geschäftskonto</t>
        </is>
      </c>
      <c r="D64" s="8" t="inlineStr">
        <is>
          <t>MI</t>
        </is>
      </c>
      <c r="E64" s="5" t="inlineStr">
        <is>
          <t>Hypo</t>
        </is>
      </c>
      <c r="F64" s="5" t="inlineStr">
        <is>
          <t>AT87 5700 0300 5563 4596</t>
        </is>
      </c>
      <c r="G64" s="21" t="n"/>
      <c r="H64" s="29" t="n"/>
    </row>
    <row r="65" ht="22.5" customHeight="1">
      <c r="A65" s="11" t="inlineStr">
        <is>
          <t xml:space="preserve">HK </t>
        </is>
      </c>
      <c r="B65" s="11" t="n"/>
      <c r="C65" s="5" t="inlineStr">
        <is>
          <t>Geschäftskonto</t>
        </is>
      </c>
      <c r="D65" s="13" t="inlineStr">
        <is>
          <t>Quantum</t>
        </is>
      </c>
      <c r="E65" s="5" t="inlineStr">
        <is>
          <t>Tispa</t>
        </is>
      </c>
      <c r="F65" s="5" t="inlineStr">
        <is>
          <t>AT82 2050 3033 0266 2816</t>
        </is>
      </c>
      <c r="G65" s="21" t="inlineStr">
        <is>
          <t>Pluskonto</t>
        </is>
      </c>
      <c r="H65" s="34" t="n"/>
    </row>
    <row r="66">
      <c r="A66" s="11" t="n"/>
      <c r="B66" s="11" t="n">
        <v>34</v>
      </c>
      <c r="C66" s="5" t="inlineStr">
        <is>
          <t>Investition Wohnungen HGS</t>
        </is>
      </c>
      <c r="D66" s="12" t="inlineStr">
        <is>
          <t>Quantum</t>
        </is>
      </c>
      <c r="E66" s="5" t="inlineStr">
        <is>
          <t>RA Schwaz-Wattens</t>
        </is>
      </c>
      <c r="F66" s="5" t="inlineStr">
        <is>
          <t>AT08 3632 2000 2029 3718</t>
        </is>
      </c>
      <c r="G66" s="21" t="inlineStr">
        <is>
          <t>1.400</t>
        </is>
      </c>
      <c r="H66" s="5" t="inlineStr">
        <is>
          <t>AT54 3632 2000 0735 8716</t>
        </is>
      </c>
      <c r="I66" s="2" t="inlineStr">
        <is>
          <t>***neuer IBAN ab 09.09.2023</t>
        </is>
      </c>
    </row>
    <row r="67">
      <c r="A67" s="11" t="n"/>
      <c r="B67" s="11" t="n"/>
      <c r="C67" s="5" t="inlineStr">
        <is>
          <t>Investition Wohnungen Colingasse 12</t>
        </is>
      </c>
      <c r="D67" s="12" t="inlineStr">
        <is>
          <t>Quantum</t>
        </is>
      </c>
      <c r="E67" s="5" t="inlineStr">
        <is>
          <t>Tispa</t>
        </is>
      </c>
      <c r="F67" s="5" t="inlineStr">
        <is>
          <t>AT57 2050 3033 3159 1382</t>
        </is>
      </c>
      <c r="G67" s="21" t="inlineStr">
        <is>
          <t>2.480</t>
        </is>
      </c>
      <c r="H67" s="29" t="n"/>
    </row>
    <row r="68">
      <c r="A68" s="11" t="n"/>
      <c r="B68" s="11" t="n"/>
      <c r="C68" s="5" t="inlineStr">
        <is>
          <t>Kautionen Vermietung Colingasse u. Heiliggeiststr.</t>
        </is>
      </c>
      <c r="D68" s="13" t="inlineStr">
        <is>
          <t>Quantum</t>
        </is>
      </c>
      <c r="E68" s="5" t="inlineStr">
        <is>
          <t>Tispa</t>
        </is>
      </c>
      <c r="F68" s="5" t="inlineStr">
        <is>
          <t>AT19 2050 3033 0273 1074</t>
        </is>
      </c>
      <c r="G68" s="21" t="inlineStr">
        <is>
          <t>Treuhandkonto</t>
        </is>
      </c>
      <c r="H68" s="34" t="inlineStr">
        <is>
          <t>Verzinsung 1%</t>
        </is>
      </c>
    </row>
    <row r="69">
      <c r="A69" s="11" t="n"/>
      <c r="B69" s="11" t="n">
        <v>93</v>
      </c>
      <c r="C69" s="5" t="inlineStr">
        <is>
          <t>Lohbachweg D</t>
        </is>
      </c>
      <c r="D69" s="13" t="inlineStr">
        <is>
          <t>Quantum</t>
        </is>
      </c>
      <c r="E69" s="5" t="inlineStr">
        <is>
          <t>Tispa</t>
        </is>
      </c>
      <c r="F69" s="5" t="inlineStr">
        <is>
          <t>AT26 2050 3033 0340 5777</t>
        </is>
      </c>
      <c r="G69" s="21" t="inlineStr">
        <is>
          <t>Baukonto</t>
        </is>
      </c>
      <c r="H69" s="34" t="inlineStr">
        <is>
          <t>alle Zahlungen</t>
        </is>
      </c>
    </row>
    <row r="70">
      <c r="A70" s="11" t="n"/>
      <c r="B70" s="11" t="n">
        <v>93</v>
      </c>
      <c r="C70" s="5" t="inlineStr">
        <is>
          <t>Lohbachweg D</t>
        </is>
      </c>
      <c r="D70" s="13" t="inlineStr">
        <is>
          <t>Quantum</t>
        </is>
      </c>
      <c r="E70" s="5" t="inlineStr">
        <is>
          <t>Tispa</t>
        </is>
      </c>
      <c r="F70" s="5" t="inlineStr">
        <is>
          <t>AT39 2050 3033 3223 8017</t>
        </is>
      </c>
      <c r="G70" s="21" t="inlineStr">
        <is>
          <t>3.400.000 Finanzierung</t>
        </is>
      </c>
      <c r="H70" s="34" t="n"/>
    </row>
    <row r="71">
      <c r="A71" s="11" t="inlineStr">
        <is>
          <t xml:space="preserve">HK </t>
        </is>
      </c>
      <c r="B71" s="11" t="n"/>
      <c r="C71" s="5" t="inlineStr">
        <is>
          <t>Geschäftskonto</t>
        </is>
      </c>
      <c r="D71" s="9" t="inlineStr">
        <is>
          <t>SAINT</t>
        </is>
      </c>
      <c r="E71" s="5" t="inlineStr">
        <is>
          <t>BTV</t>
        </is>
      </c>
      <c r="F71" s="5" t="inlineStr">
        <is>
          <t>AT71 1600 0001 0063 2594</t>
        </is>
      </c>
      <c r="G71" s="21" t="inlineStr">
        <is>
          <t>Pluskonto</t>
        </is>
      </c>
      <c r="H71" s="29" t="n"/>
    </row>
    <row r="72">
      <c r="A72" s="11" t="inlineStr">
        <is>
          <t xml:space="preserve">HK </t>
        </is>
      </c>
      <c r="B72" s="11" t="n"/>
      <c r="C72" s="5" t="inlineStr">
        <is>
          <t>Schönegg, Geschäftskonto</t>
        </is>
      </c>
      <c r="D72" s="33" t="inlineStr">
        <is>
          <t>Schönegg Developement</t>
        </is>
      </c>
      <c r="E72" s="5" t="inlineStr">
        <is>
          <t>TISPA</t>
        </is>
      </c>
      <c r="F72" s="5" t="inlineStr">
        <is>
          <t xml:space="preserve">AT21 2050 3033 0280 6892 </t>
        </is>
      </c>
      <c r="G72" s="21" t="inlineStr">
        <is>
          <t>Pluskonto</t>
        </is>
      </c>
      <c r="H72" s="29" t="n"/>
    </row>
    <row r="73">
      <c r="A73" s="11" t="n"/>
      <c r="B73" s="11" t="n">
        <v>88</v>
      </c>
      <c r="C73" s="5" t="inlineStr">
        <is>
          <t>Schönegg</t>
        </is>
      </c>
      <c r="D73" s="33" t="inlineStr">
        <is>
          <t>Schönegg Developement</t>
        </is>
      </c>
      <c r="E73" s="5" t="inlineStr">
        <is>
          <t>VB Tirol</t>
        </is>
      </c>
      <c r="F73" s="5" t="inlineStr">
        <is>
          <t>AT83 4239 0030 0009 2425</t>
        </is>
      </c>
      <c r="G73" s="21" t="inlineStr">
        <is>
          <t>5.734.000</t>
        </is>
      </c>
      <c r="H73" s="29" t="inlineStr">
        <is>
          <t>Zuzahlungen auf dieses Konto!</t>
        </is>
      </c>
    </row>
    <row r="74">
      <c r="A74" s="11" t="inlineStr">
        <is>
          <t xml:space="preserve">HK </t>
        </is>
      </c>
      <c r="B74" s="11" t="n"/>
      <c r="C74" s="5" t="inlineStr">
        <is>
          <t>Geschäftskonto</t>
        </is>
      </c>
      <c r="D74" s="9" t="inlineStr">
        <is>
          <t>SUB</t>
        </is>
      </c>
      <c r="E74" s="5" t="inlineStr">
        <is>
          <t>BTV</t>
        </is>
      </c>
      <c r="F74" s="5" t="inlineStr">
        <is>
          <t>AT59 1600 0001 0063 2616</t>
        </is>
      </c>
      <c r="G74" s="21" t="inlineStr">
        <is>
          <t>Pluskonto</t>
        </is>
      </c>
      <c r="H74" s="29" t="n"/>
    </row>
    <row r="75">
      <c r="A75" s="11" t="inlineStr">
        <is>
          <t xml:space="preserve">HK </t>
        </is>
      </c>
      <c r="B75" s="11" t="n"/>
      <c r="C75" s="5" t="inlineStr">
        <is>
          <t>Geschäftskonto</t>
        </is>
      </c>
      <c r="D75" s="17" t="inlineStr">
        <is>
          <t>TRINUM</t>
        </is>
      </c>
      <c r="E75" s="5" t="inlineStr">
        <is>
          <t>BTV</t>
        </is>
      </c>
      <c r="F75" s="5" t="inlineStr">
        <is>
          <t>AT79 1600 0001 0061 0140</t>
        </is>
      </c>
      <c r="G75" s="21" t="inlineStr">
        <is>
          <t>Pluskonto</t>
        </is>
      </c>
      <c r="H75" s="29" t="n"/>
    </row>
    <row r="76">
      <c r="A76" s="11" t="n"/>
      <c r="B76" s="11" t="n">
        <v>24</v>
      </c>
      <c r="C76" s="5" t="inlineStr">
        <is>
          <t>Weberg. (zu FV 0167 = geschlossen)</t>
        </is>
      </c>
      <c r="D76" s="17" t="inlineStr">
        <is>
          <t>TRINUM</t>
        </is>
      </c>
      <c r="E76" s="5" t="inlineStr">
        <is>
          <t>BTV</t>
        </is>
      </c>
      <c r="F76" s="5" t="inlineStr">
        <is>
          <t>AT22 1600 0001 0060 9517</t>
        </is>
      </c>
      <c r="G76" s="21" t="inlineStr">
        <is>
          <t>1.326.006</t>
        </is>
      </c>
      <c r="H76" s="29" t="n"/>
    </row>
    <row r="77">
      <c r="A77" s="11" t="inlineStr">
        <is>
          <t> </t>
        </is>
      </c>
      <c r="B77" s="11" t="n">
        <v>26</v>
      </c>
      <c r="C77" s="5" t="inlineStr">
        <is>
          <t>Staudg. (Kaufpreisnachzahlung Grund)</t>
        </is>
      </c>
      <c r="D77" s="17" t="inlineStr">
        <is>
          <t>TRINUM</t>
        </is>
      </c>
      <c r="E77" s="5" t="inlineStr">
        <is>
          <t>Hypo Tirol</t>
        </is>
      </c>
      <c r="F77" s="5" t="inlineStr">
        <is>
          <t>AT74 5700 0302 5327 4367</t>
        </is>
      </c>
      <c r="G77" s="21" t="n">
        <v>300</v>
      </c>
      <c r="H77" s="29" t="n"/>
    </row>
    <row r="78">
      <c r="A78" s="11" t="n"/>
      <c r="B78" s="11" t="n">
        <v>26</v>
      </c>
      <c r="C78" s="5" t="inlineStr">
        <is>
          <t>Staudgasse, Projektkonto</t>
        </is>
      </c>
      <c r="D78" s="17" t="inlineStr">
        <is>
          <t>TRINUM</t>
        </is>
      </c>
      <c r="E78" s="5" t="inlineStr">
        <is>
          <t>Hypo Tirol</t>
        </is>
      </c>
      <c r="F78" s="5" t="inlineStr">
        <is>
          <t>AT70 5700 0300 5536 8152</t>
        </is>
      </c>
      <c r="G78" s="21" t="inlineStr">
        <is>
          <t>2.624.240</t>
        </is>
      </c>
      <c r="H78" s="29" t="inlineStr">
        <is>
          <t>Insgesamt: € 5.087.000,00 (alle Konten von BV26)Rücksprache mit Hypo, verfügbarer Betrag</t>
        </is>
      </c>
    </row>
    <row r="79">
      <c r="A79" s="11" t="n"/>
      <c r="B79" s="11" t="n">
        <v>26</v>
      </c>
      <c r="C79" s="5" t="inlineStr">
        <is>
          <t>Staudgasse (Zinsdepot)</t>
        </is>
      </c>
      <c r="D79" s="17" t="inlineStr">
        <is>
          <t>TRINUM</t>
        </is>
      </c>
      <c r="E79" s="5" t="inlineStr">
        <is>
          <t>Hypo Tirol</t>
        </is>
      </c>
      <c r="F79" s="5" t="inlineStr">
        <is>
          <t>AT56 5700 0300 5585 9806</t>
        </is>
      </c>
      <c r="G79" s="21" t="n"/>
      <c r="H79" s="29" t="n"/>
    </row>
    <row r="80">
      <c r="A80" s="11" t="n"/>
      <c r="B80" s="11" t="n">
        <v>26</v>
      </c>
      <c r="C80" s="5" t="inlineStr">
        <is>
          <t>Staudgasse (Finanzierung)</t>
        </is>
      </c>
      <c r="D80" s="17" t="inlineStr">
        <is>
          <t>TRINUM</t>
        </is>
      </c>
      <c r="E80" s="5" t="inlineStr">
        <is>
          <t>Hypo Tirol</t>
        </is>
      </c>
      <c r="F80" s="5" t="inlineStr">
        <is>
          <t>AT70 5700 0302 5322 0410</t>
        </is>
      </c>
      <c r="G80" s="21" t="inlineStr">
        <is>
          <t>2.300</t>
        </is>
      </c>
      <c r="H80" s="29" t="n"/>
    </row>
    <row r="81">
      <c r="A81" s="11" t="n"/>
      <c r="B81" s="11" t="n">
        <v>26</v>
      </c>
      <c r="C81" s="5" t="inlineStr">
        <is>
          <t>Staudgasse (Finanzierung)</t>
        </is>
      </c>
      <c r="D81" s="17" t="inlineStr">
        <is>
          <t>TRINUM</t>
        </is>
      </c>
      <c r="E81" s="5" t="inlineStr">
        <is>
          <t>Hypo Tirol</t>
        </is>
      </c>
      <c r="F81" s="5" t="inlineStr">
        <is>
          <t>AT51 5700 0302 5340 8738</t>
        </is>
      </c>
      <c r="G81" s="21" t="inlineStr">
        <is>
          <t>1.200</t>
        </is>
      </c>
      <c r="H81" s="29" t="n"/>
    </row>
    <row r="82" customFormat="1" s="53">
      <c r="A82" s="11" t="n"/>
      <c r="B82" s="11" t="n">
        <v>27</v>
      </c>
      <c r="C82" s="5" t="inlineStr">
        <is>
          <t>Millerg. (zu FV 2593), Projektkonto</t>
        </is>
      </c>
      <c r="D82" s="17" t="inlineStr">
        <is>
          <t>TRINUM</t>
        </is>
      </c>
      <c r="E82" s="5" t="inlineStr">
        <is>
          <t>BTV</t>
        </is>
      </c>
      <c r="F82" s="5" t="inlineStr">
        <is>
          <t>AT24 1600 0001 0061 2585</t>
        </is>
      </c>
      <c r="G82" s="21" t="inlineStr">
        <is>
          <t>2.611.500</t>
        </is>
      </c>
      <c r="H82" s="29" t="n"/>
    </row>
    <row r="83">
      <c r="A83" s="11" t="n"/>
      <c r="B83" s="11" t="n">
        <v>27</v>
      </c>
      <c r="C83" s="5" t="inlineStr">
        <is>
          <t>Millergasse (FV ad 2585)</t>
        </is>
      </c>
      <c r="D83" s="17" t="inlineStr">
        <is>
          <t>TRINUM</t>
        </is>
      </c>
      <c r="E83" s="5" t="inlineStr">
        <is>
          <t>BTV</t>
        </is>
      </c>
      <c r="F83" s="5" t="inlineStr">
        <is>
          <t>AT02 1600 0001 0061 2593</t>
        </is>
      </c>
      <c r="G83" s="21" t="inlineStr">
        <is>
          <t>6.688.500</t>
        </is>
      </c>
      <c r="H83" s="29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</row>
    <row r="85">
      <c r="A85" s="2" t="n"/>
      <c r="B85" s="2" t="n"/>
      <c r="C85" s="2" t="n"/>
      <c r="D85" s="31" t="n"/>
      <c r="E85" s="2" t="n"/>
      <c r="F85" s="2" t="n"/>
      <c r="G85" s="30" t="n"/>
    </row>
    <row r="86">
      <c r="A86" s="2" t="n"/>
      <c r="B86" s="2" t="n"/>
      <c r="C86" s="2" t="n"/>
      <c r="D86" s="31" t="n"/>
      <c r="E86" s="2" t="n"/>
      <c r="F86" s="2" t="n"/>
      <c r="G86" s="30" t="n"/>
    </row>
    <row r="87">
      <c r="E87" s="22" t="n"/>
    </row>
    <row r="88">
      <c r="E88" s="22" t="n"/>
    </row>
    <row r="89">
      <c r="A89" t="n">
        <v>88</v>
      </c>
      <c r="B89" t="inlineStr">
        <is>
          <t>Scan_08_11_26_14_48_47.pdf</t>
        </is>
      </c>
      <c r="C89" t="inlineStr">
        <is>
          <t>Scan_08_11_26_14_48_47_002.pdf</t>
        </is>
      </c>
      <c r="D89" t="inlineStr">
        <is>
          <t>unassigned</t>
        </is>
      </c>
      <c r="E89" t="inlineStr">
        <is>
          <t>no_project_match</t>
        </is>
      </c>
    </row>
    <row r="90">
      <c r="A90" t="n">
        <v>89</v>
      </c>
      <c r="B90" t="inlineStr">
        <is>
          <t>Scan_08_11_26_14_48_47_002.pdf</t>
        </is>
      </c>
      <c r="C90" t="inlineStr">
        <is>
          <t>2026-10-17_P-54_Dokument_Scan_08_11_26_14_48_47_002.pdf</t>
        </is>
      </c>
      <c r="D90" t="inlineStr">
        <is>
          <t>manually_assigned</t>
        </is>
      </c>
    </row>
    <row r="91">
      <c r="A91" t="n">
        <v>90</v>
      </c>
      <c r="B91" t="inlineStr">
        <is>
          <t>Scan_08_04_26_16_26_52.pdf</t>
        </is>
      </c>
      <c r="C91" t="inlineStr">
        <is>
          <t>2026-10-18_P-54_Dokument_Scan_08_04_26_16_26_52.pdf</t>
        </is>
      </c>
      <c r="D91" t="inlineStr">
        <is>
          <t>assigned</t>
        </is>
      </c>
    </row>
    <row r="92">
      <c r="A92" t="n">
        <v>91</v>
      </c>
      <c r="B92" t="inlineStr">
        <is>
          <t>Scan_08_05_26_14_51_26.pdf</t>
        </is>
      </c>
      <c r="C92" t="inlineStr">
        <is>
          <t>Scan_08_05_26_14_51_26.pdf</t>
        </is>
      </c>
      <c r="D92" t="inlineStr">
        <is>
          <t>unassigned</t>
        </is>
      </c>
      <c r="E92" t="inlineStr">
        <is>
          <t>no_project_match</t>
        </is>
      </c>
    </row>
    <row r="93">
      <c r="A93" t="n">
        <v>92</v>
      </c>
      <c r="B93" t="inlineStr">
        <is>
          <t>Scan_08_06_26_09_25_40.pdf</t>
        </is>
      </c>
      <c r="C93" t="inlineStr">
        <is>
          <t>2026-10-18_P-64_Dokument_Scan_08_06_26_09_25_40.pdf</t>
        </is>
      </c>
      <c r="D93" t="inlineStr">
        <is>
          <t>assigned</t>
        </is>
      </c>
    </row>
    <row r="94">
      <c r="A94" t="n">
        <v>93</v>
      </c>
      <c r="B94" t="inlineStr">
        <is>
          <t>Scan_08_11_26_14_48_21.pdf</t>
        </is>
      </c>
      <c r="C94" t="inlineStr">
        <is>
          <t>Scan_08_11_26_14_48_21_001.pdf</t>
        </is>
      </c>
      <c r="D94" t="inlineStr">
        <is>
          <t>unassigned</t>
        </is>
      </c>
      <c r="E94" t="inlineStr">
        <is>
          <t>no_project_match</t>
        </is>
      </c>
    </row>
    <row r="95">
      <c r="A95" t="n">
        <v>94</v>
      </c>
      <c r="B95" t="inlineStr">
        <is>
          <t>Scan_08_11_26_14_48_47.pdf</t>
        </is>
      </c>
      <c r="C95" t="inlineStr">
        <is>
          <t>2026-10-18_P-54_Dokument_Scan_08_11_26_14_48_47.pdf</t>
        </is>
      </c>
      <c r="D95" t="inlineStr">
        <is>
          <t>assigned</t>
        </is>
      </c>
    </row>
    <row r="96">
      <c r="A96" t="n">
        <v>95</v>
      </c>
      <c r="B96" t="inlineStr">
        <is>
          <t>Scan_08_11_26_14_49_58.pdf</t>
        </is>
      </c>
      <c r="C96" t="inlineStr">
        <is>
          <t>Scan_08_11_26_14_49_58_001.pdf</t>
        </is>
      </c>
      <c r="D96" t="inlineStr">
        <is>
          <t>unassigned</t>
        </is>
      </c>
      <c r="E96" t="inlineStr">
        <is>
          <t>no_project_match</t>
        </is>
      </c>
    </row>
    <row r="97">
      <c r="A97" t="n">
        <v>96</v>
      </c>
      <c r="B97" t="inlineStr">
        <is>
          <t>Scan_08_11_26_14_55_10.pdf</t>
        </is>
      </c>
      <c r="C97" t="inlineStr">
        <is>
          <t>Scan_08_11_26_14_55_10_001.pdf</t>
        </is>
      </c>
      <c r="D97" t="inlineStr">
        <is>
          <t>unassigned</t>
        </is>
      </c>
      <c r="E97" t="inlineStr">
        <is>
          <t>no_project_match</t>
        </is>
      </c>
    </row>
    <row r="98">
      <c r="A98" t="n">
        <v>97</v>
      </c>
      <c r="B98" t="inlineStr">
        <is>
          <t>Scan_08_12_26_09_28_51.pdf</t>
        </is>
      </c>
      <c r="C98" t="inlineStr">
        <is>
          <t>2026-10-18_P-54_Dokument_Scan_08_12_26_09_28_51.pdf</t>
        </is>
      </c>
      <c r="D98" t="inlineStr">
        <is>
          <t>assigned</t>
        </is>
      </c>
    </row>
    <row r="99">
      <c r="A99" t="n">
        <v>98</v>
      </c>
      <c r="B99" t="inlineStr">
        <is>
          <t>Scan_08_05_26_14_51_26.pdf</t>
        </is>
      </c>
      <c r="C99" t="inlineStr">
        <is>
          <t>2026-10-18_P-55_Dokument_Scan_08_05_26_14_51_26.pdf</t>
        </is>
      </c>
      <c r="D99" t="inlineStr">
        <is>
          <t>manually_assigned</t>
        </is>
      </c>
    </row>
    <row r="100">
      <c r="A100" t="n">
        <v>99</v>
      </c>
      <c r="B100" t="inlineStr">
        <is>
          <t>Scan_08_06_26_09_25_40.pdf</t>
        </is>
      </c>
      <c r="C100" t="inlineStr">
        <is>
          <t>2026-10-18_P-64_Dokument_Scan_08_06_26_09_25_40_001.pdf</t>
        </is>
      </c>
      <c r="D100" t="inlineStr">
        <is>
          <t>manually_assigned</t>
        </is>
      </c>
    </row>
    <row r="101">
      <c r="A101" t="n">
        <v>100</v>
      </c>
      <c r="B101" t="inlineStr">
        <is>
          <t>Scan_08_11_26_14_48_21.pdf</t>
        </is>
      </c>
      <c r="C101" t="inlineStr">
        <is>
          <t>2026-10-18_P-38_Dokument_Scan_08_11_26_14_48_21.pdf</t>
        </is>
      </c>
      <c r="D101" t="inlineStr">
        <is>
          <t>manually_assigned</t>
        </is>
      </c>
    </row>
    <row r="102">
      <c r="A102" t="n">
        <v>101</v>
      </c>
      <c r="B102" t="inlineStr">
        <is>
          <t>Scan_08_11_26_14_48_21_001.pdf</t>
        </is>
      </c>
      <c r="C102" t="inlineStr">
        <is>
          <t>2026-10-18_P-38_Dokument_Scan_08_11_26_14_48_21_001.pdf</t>
        </is>
      </c>
      <c r="D102" t="inlineStr">
        <is>
          <t>manually_assigned</t>
        </is>
      </c>
    </row>
    <row r="103">
      <c r="A103" t="n">
        <v>102</v>
      </c>
      <c r="B103" t="inlineStr">
        <is>
          <t>Scan_08_11_26_14_48_47_001.pdf</t>
        </is>
      </c>
      <c r="C103" t="inlineStr">
        <is>
          <t>2026-10-18_P-54_Dokument_Scan_08_11_26_14_48_47_001.pdf</t>
        </is>
      </c>
      <c r="D103" t="inlineStr">
        <is>
          <t>manually_assigned</t>
        </is>
      </c>
    </row>
    <row r="104">
      <c r="A104" t="n">
        <v>103</v>
      </c>
      <c r="B104" t="inlineStr">
        <is>
          <t>Scan_08_11_26_14_49_58.pdf</t>
        </is>
      </c>
      <c r="C104" t="inlineStr">
        <is>
          <t>2026-10-18_P-44_Dokument_Scan_08_11_26_14_49_58.pdf</t>
        </is>
      </c>
      <c r="D104" t="inlineStr">
        <is>
          <t>manually_assigned</t>
        </is>
      </c>
    </row>
    <row r="105">
      <c r="A105" t="n">
        <v>104</v>
      </c>
      <c r="B105" t="inlineStr">
        <is>
          <t>Scan_08_11_26_14_49_58_001.pdf</t>
        </is>
      </c>
      <c r="C105" t="inlineStr">
        <is>
          <t>2026-10-18_P-44_Dokument_Scan_08_11_26_14_49_58_001.pdf</t>
        </is>
      </c>
      <c r="D105" t="inlineStr">
        <is>
          <t>manually_assigned</t>
        </is>
      </c>
    </row>
    <row r="106">
      <c r="A106" t="n">
        <v>105</v>
      </c>
      <c r="B106" t="inlineStr">
        <is>
          <t>Scan_08_11_26_14_55_10.pdf</t>
        </is>
      </c>
      <c r="C106" t="inlineStr">
        <is>
          <t>2026-10-18_P-44_Dokument_Scan_08_11_26_14_55_10.pdf</t>
        </is>
      </c>
      <c r="D106" t="inlineStr">
        <is>
          <t>manually_assigned</t>
        </is>
      </c>
    </row>
    <row r="107">
      <c r="A107" t="n">
        <v>106</v>
      </c>
      <c r="B107" t="inlineStr">
        <is>
          <t>Scan_08_04_26_16_26_52.pdf</t>
        </is>
      </c>
      <c r="C107" t="inlineStr">
        <is>
          <t>2026-10-18_P-54_Dokument_Scan_08_04_26_16_26_52_001.pdf</t>
        </is>
      </c>
      <c r="D107" t="inlineStr">
        <is>
          <t>manually_assigned</t>
        </is>
      </c>
    </row>
    <row r="108">
      <c r="A108" t="n">
        <v>107</v>
      </c>
      <c r="B108" t="inlineStr">
        <is>
          <t>Scan_08_11_26_14_55_10_001.pdf</t>
        </is>
      </c>
      <c r="C108" t="inlineStr">
        <is>
          <t>2026-10-18_P-44_Dokument_Scan_08_11_26_14_55_10_001.pdf</t>
        </is>
      </c>
      <c r="D108" t="inlineStr">
        <is>
          <t>manually_assigned</t>
        </is>
      </c>
      <c r="E108" t="inlineStr"/>
    </row>
  </sheetData>
  <autoFilter ref="A1:BH87"/>
  <hyperlinks>
    <hyperlink xmlns:r="http://schemas.openxmlformats.org/officeDocument/2006/relationships" ref="F24" display="https://banking.raiffeisen.at/group/privaterbgtir/id200000000/id201000000/konten/zvkonten/zvkontenuebersicht?p_p_id=kontoinfo_WAR_kontoinfoportlet_INSTANCE_AbP1&amp;p_p_lifecycle=0&amp;p_p_state=normal&amp;p_p_mode=view&amp;p_p_col_id=column-2&amp;p_p_col_count=1&amp;_kontoinfo_WAR_kontoinfoportlet_INSTANCE_AbP1_flowid=konten&amp;_kontoinfo_WAR_kontoinfoportlet_INSTANCE_AbP1_execution=e1s1" r:id="rId1"/>
    <hyperlink xmlns:r="http://schemas.openxmlformats.org/officeDocument/2006/relationships" ref="F40" display="https://banking.raiffeisen.at/group/privaterbgtir/id200000000/id201000000/id201010000?portletRefresh=view" r:id="rId2"/>
    <hyperlink xmlns:r="http://schemas.openxmlformats.org/officeDocument/2006/relationships" ref="F77" tooltip="zu den Umsätzen" display="https://hypoonline.hypotirol.com/appl/ebpbfc/giro/umsaetze/aktuell.html?konto=30055368152&amp;token=JgkePComgarpY0lR0D*EvPbcGmXN6iQ3M4RiKIqF5LyvROO0VQX6qEB26HnpmFX1InGIZIRf9O6aFYeRz09rTmMDPJdO98QLj--" r:id="rId3"/>
    <hyperlink xmlns:r="http://schemas.openxmlformats.org/officeDocument/2006/relationships" ref="F79" tooltip="zu den Umsätzen" display="https://hypoonline.hypotirol.com/appl/ebpbfc/finanzierung/umsaetze/aktuell.html?konto=30253220410&amp;token=PuLktDomgarZb9uGj*HPD_5uhXaHttN2XRVN2mY_cgdmQMSt3yR3M4PysnkaFroYtG_RRZlyAYhj8HMFSS_OcfCpqP7uDEa5A--" r:id="rId4"/>
  </hyperlinks>
  <pageMargins left="0.25" right="0.25" top="0.75" bottom="0.75" header="0.3" footer="0.3"/>
  <pageSetup orientation="landscape" paperSize="9" fitToHeight="0"/>
  <rowBreaks count="1" manualBreakCount="1">
    <brk id="8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zoomScale="154" zoomScaleNormal="154" workbookViewId="0">
      <pane ySplit="1" topLeftCell="A2" activePane="bottomLeft" state="frozen"/>
      <selection pane="bottomLeft" activeCell="B34" sqref="B34"/>
    </sheetView>
  </sheetViews>
  <sheetFormatPr baseColWidth="10" defaultColWidth="40.7109375" defaultRowHeight="11.25"/>
  <cols>
    <col width="4.42578125" bestFit="1" customWidth="1" style="28" min="1" max="1"/>
    <col width="32.85546875" bestFit="1" customWidth="1" style="28" min="2" max="2"/>
    <col width="7.7109375" bestFit="1" customWidth="1" style="28" min="3" max="4"/>
    <col width="20.7109375" bestFit="1" customWidth="1" style="28" min="5" max="5"/>
    <col width="44.7109375" bestFit="1" customWidth="1" style="27" min="6" max="6"/>
    <col width="14.5703125" bestFit="1" customWidth="1" style="28" min="7" max="7"/>
    <col width="40.7109375" customWidth="1" style="28" min="8" max="16384"/>
  </cols>
  <sheetData>
    <row r="1" ht="12" customFormat="1" customHeight="1" s="27">
      <c r="A1" s="32" t="inlineStr">
        <is>
          <t>BV</t>
        </is>
      </c>
      <c r="B1" s="4" t="inlineStr">
        <is>
          <t>PROJEKT</t>
        </is>
      </c>
      <c r="C1" s="4" t="inlineStr">
        <is>
          <t>INHABER</t>
        </is>
      </c>
      <c r="D1" s="4" t="inlineStr">
        <is>
          <t>BANK</t>
        </is>
      </c>
      <c r="E1" s="4" t="inlineStr">
        <is>
          <t>IBAN</t>
        </is>
      </c>
      <c r="F1" s="4" t="inlineStr">
        <is>
          <t>RAHMEN TEUR</t>
        </is>
      </c>
      <c r="G1" s="26" t="n"/>
      <c r="H1" s="26" t="n"/>
    </row>
    <row r="2">
      <c r="A2" s="5" t="n">
        <v>63</v>
      </c>
      <c r="B2" s="5" t="inlineStr">
        <is>
          <t>BV63 Kufstein - Finanzierung + Kontokorrent</t>
        </is>
      </c>
      <c r="C2" s="8" t="inlineStr">
        <is>
          <t>VEP</t>
        </is>
      </c>
      <c r="D2" s="5" t="inlineStr">
        <is>
          <t>TiSpa</t>
        </is>
      </c>
      <c r="E2" s="5" t="inlineStr">
        <is>
          <t>AT69 2050 3033 0209 8995</t>
        </is>
      </c>
      <c r="F2" s="49" t="inlineStr">
        <is>
          <t>2.400</t>
        </is>
      </c>
      <c r="G2" s="1" t="n"/>
      <c r="H2" s="1" t="n"/>
    </row>
    <row r="3">
      <c r="A3" s="5" t="n">
        <v>64</v>
      </c>
      <c r="B3" s="5" t="inlineStr">
        <is>
          <t xml:space="preserve">BV64 Mutters - Finanzierung + Kontokorrent </t>
        </is>
      </c>
      <c r="C3" s="8" t="inlineStr">
        <is>
          <t>VEP</t>
        </is>
      </c>
      <c r="D3" s="5" t="inlineStr">
        <is>
          <t>TiSpa</t>
        </is>
      </c>
      <c r="E3" s="5" t="inlineStr">
        <is>
          <t>AT27 2050 3033 0198 6455</t>
        </is>
      </c>
      <c r="F3" s="21" t="n">
        <v>730</v>
      </c>
      <c r="G3" s="1" t="n"/>
      <c r="H3" s="1" t="n"/>
    </row>
    <row r="4">
      <c r="A4" s="5" t="n">
        <v>65</v>
      </c>
      <c r="B4" s="5" t="inlineStr">
        <is>
          <t>BV65 Amras Finanzierung + Kontokorrent</t>
        </is>
      </c>
      <c r="C4" s="9" t="inlineStr">
        <is>
          <t>VEPE</t>
        </is>
      </c>
      <c r="D4" s="5" t="inlineStr">
        <is>
          <t>TiSpa</t>
        </is>
      </c>
      <c r="E4" s="5" t="inlineStr">
        <is>
          <t>AT87 2050 3033 0220 8669</t>
        </is>
      </c>
      <c r="F4" s="21" t="inlineStr">
        <is>
          <t>3.600</t>
        </is>
      </c>
      <c r="G4" s="1" t="n"/>
      <c r="H4" s="1" t="n"/>
    </row>
    <row r="5">
      <c r="A5" s="5" t="n">
        <v>66</v>
      </c>
      <c r="B5" s="5" t="inlineStr">
        <is>
          <t>BV66 Finanzierung Eigenmittel Strudlhof</t>
        </is>
      </c>
      <c r="C5" s="6" t="inlineStr">
        <is>
          <t>VEH</t>
        </is>
      </c>
      <c r="D5" s="5" t="inlineStr">
        <is>
          <t>TiSpa</t>
        </is>
      </c>
      <c r="E5" s="5" t="inlineStr">
        <is>
          <t>AT75 2050 3033 0229 2887</t>
        </is>
      </c>
      <c r="F5" s="21" t="n">
        <v>360</v>
      </c>
      <c r="G5" s="1" t="n"/>
      <c r="H5" s="1" t="n"/>
    </row>
    <row r="6" ht="10.5" customHeight="1">
      <c r="A6" s="5" t="n">
        <v>66</v>
      </c>
      <c r="B6" s="5" t="inlineStr">
        <is>
          <t>BV66 Strudlhof + HK</t>
        </is>
      </c>
      <c r="C6" s="7" t="inlineStr">
        <is>
          <t>VEV</t>
        </is>
      </c>
      <c r="D6" s="5" t="inlineStr">
        <is>
          <t>Erste</t>
        </is>
      </c>
      <c r="E6" s="5" t="inlineStr">
        <is>
          <t>AT70 2011 1841 1261 4600</t>
        </is>
      </c>
      <c r="F6" s="49" t="inlineStr">
        <is>
          <t>Pluskonto - Zahlungen von diesem Konto</t>
        </is>
      </c>
      <c r="G6" s="1" t="n"/>
      <c r="H6" s="1" t="n"/>
    </row>
    <row r="7">
      <c r="A7" s="5" t="n">
        <v>66</v>
      </c>
      <c r="B7" s="5" t="inlineStr">
        <is>
          <t>BV66 Strudlhof Finanzierung</t>
        </is>
      </c>
      <c r="C7" s="7" t="inlineStr">
        <is>
          <t>VEV</t>
        </is>
      </c>
      <c r="D7" s="5" t="inlineStr">
        <is>
          <t>Erste</t>
        </is>
      </c>
      <c r="E7" s="5" t="inlineStr">
        <is>
          <t>AT20 2011 1841 1043 3000</t>
        </is>
      </c>
      <c r="F7" s="29" t="n"/>
      <c r="G7" s="1" t="n"/>
      <c r="H7" s="1" t="n"/>
    </row>
    <row r="8" hidden="1" customFormat="1" s="48">
      <c r="A8" s="36" t="n">
        <v>66</v>
      </c>
      <c r="B8" s="36" t="inlineStr">
        <is>
          <t>BV66 Strudlhof Finanzierung</t>
        </is>
      </c>
      <c r="C8" s="45" t="inlineStr">
        <is>
          <t>VEV</t>
        </is>
      </c>
      <c r="D8" s="36" t="inlineStr">
        <is>
          <t>Erste</t>
        </is>
      </c>
      <c r="E8" s="36" t="inlineStr">
        <is>
          <t>AT90 2011 1841 1043 3001</t>
        </is>
      </c>
      <c r="F8" s="50" t="inlineStr">
        <is>
          <t>7.620</t>
        </is>
      </c>
      <c r="G8" s="46" t="inlineStr">
        <is>
          <t>geschlossen?</t>
        </is>
      </c>
      <c r="H8" s="47" t="n"/>
    </row>
    <row r="9">
      <c r="A9" s="5" t="n"/>
      <c r="B9" s="5" t="n"/>
      <c r="C9" s="7" t="inlineStr">
        <is>
          <t>VEV</t>
        </is>
      </c>
      <c r="D9" s="5" t="inlineStr">
        <is>
          <t>Erste</t>
        </is>
      </c>
      <c r="E9" s="5" t="inlineStr">
        <is>
          <t>AT36 2011 1841 1043 3003</t>
        </is>
      </c>
      <c r="F9" s="29" t="n"/>
      <c r="G9" s="1" t="n"/>
      <c r="H9" s="1" t="n"/>
    </row>
    <row r="10">
      <c r="A10" s="5" t="n">
        <v>75</v>
      </c>
      <c r="B10" s="5" t="inlineStr">
        <is>
          <t>BV75 Jenbach Kontokorrent</t>
        </is>
      </c>
      <c r="C10" s="8" t="inlineStr">
        <is>
          <t>VEP</t>
        </is>
      </c>
      <c r="D10" s="5" t="inlineStr">
        <is>
          <t>TiSpa</t>
        </is>
      </c>
      <c r="E10" s="5" t="inlineStr">
        <is>
          <t>AT87 2050 3033 0271 4815</t>
        </is>
      </c>
      <c r="F10" s="21" t="n">
        <v>640</v>
      </c>
      <c r="G10" s="1" t="n"/>
      <c r="H10" s="1" t="n"/>
    </row>
    <row r="11">
      <c r="A11" s="5" t="inlineStr">
        <is>
          <t>HK</t>
        </is>
      </c>
      <c r="B11" s="5" t="inlineStr">
        <is>
          <t>HK</t>
        </is>
      </c>
      <c r="C11" s="6" t="inlineStr">
        <is>
          <t>VEH</t>
        </is>
      </c>
      <c r="D11" s="5" t="inlineStr">
        <is>
          <t>TiSpa</t>
        </is>
      </c>
      <c r="E11" s="5" t="inlineStr">
        <is>
          <t>AT38 2050 3033 0209 6643</t>
        </is>
      </c>
      <c r="F11" s="21" t="n">
        <v>75</v>
      </c>
      <c r="G11" s="1" t="n"/>
      <c r="H11" s="1" t="n"/>
    </row>
    <row r="12" hidden="1" customFormat="1" s="48">
      <c r="A12" s="36" t="inlineStr">
        <is>
          <t>HK</t>
        </is>
      </c>
      <c r="B12" s="36" t="inlineStr">
        <is>
          <t>HK</t>
        </is>
      </c>
      <c r="C12" s="42" t="inlineStr">
        <is>
          <t>VEP</t>
        </is>
      </c>
      <c r="D12" s="36" t="inlineStr">
        <is>
          <t>Hypo</t>
        </is>
      </c>
      <c r="E12" s="36" t="inlineStr">
        <is>
          <t>AT82 5700 0300 5570 5787</t>
        </is>
      </c>
      <c r="F12" s="50" t="inlineStr">
        <is>
          <t>Pluskonto</t>
        </is>
      </c>
      <c r="G12" s="47" t="inlineStr">
        <is>
          <t>Schließung</t>
        </is>
      </c>
      <c r="H12" s="47" t="n"/>
    </row>
    <row r="13" hidden="1">
      <c r="A13" s="36" t="inlineStr">
        <is>
          <t>HK</t>
        </is>
      </c>
      <c r="B13" s="36" t="inlineStr">
        <is>
          <t>HK</t>
        </is>
      </c>
      <c r="C13" s="42" t="inlineStr">
        <is>
          <t>VEP</t>
        </is>
      </c>
      <c r="D13" s="36" t="inlineStr">
        <is>
          <t>Tispa</t>
        </is>
      </c>
      <c r="E13" s="36" t="inlineStr">
        <is>
          <t>AT08 2050 3033 0309 2112</t>
        </is>
      </c>
      <c r="F13" s="50" t="inlineStr">
        <is>
          <t>geschlossen</t>
        </is>
      </c>
      <c r="G13" s="1" t="n"/>
      <c r="H13" s="1" t="n"/>
    </row>
    <row r="14">
      <c r="A14" s="5" t="inlineStr">
        <is>
          <t>HK</t>
        </is>
      </c>
      <c r="B14" s="5" t="inlineStr">
        <is>
          <t>HK</t>
        </is>
      </c>
      <c r="C14" s="9" t="inlineStr">
        <is>
          <t>VEK</t>
        </is>
      </c>
      <c r="D14" s="5" t="inlineStr">
        <is>
          <t>TiSpa</t>
        </is>
      </c>
      <c r="E14" s="5" t="inlineStr">
        <is>
          <t>AT36 2050 3033 0246 5764</t>
        </is>
      </c>
      <c r="F14" s="21" t="inlineStr">
        <is>
          <t>Pluskonto</t>
        </is>
      </c>
      <c r="G14" s="1" t="n"/>
      <c r="H14" s="1" t="n"/>
    </row>
    <row r="15">
      <c r="A15" s="5" t="inlineStr">
        <is>
          <t>HK</t>
        </is>
      </c>
      <c r="B15" s="5" t="inlineStr">
        <is>
          <t>HK</t>
        </is>
      </c>
      <c r="C15" s="9" t="inlineStr">
        <is>
          <t>BESP</t>
        </is>
      </c>
      <c r="D15" s="5" t="inlineStr">
        <is>
          <t>TiSpa</t>
        </is>
      </c>
      <c r="E15" s="5" t="inlineStr">
        <is>
          <t>AT29 2050 3033 0184 3441</t>
        </is>
      </c>
      <c r="F15" s="21" t="inlineStr">
        <is>
          <t>Pluskonto</t>
        </is>
      </c>
      <c r="G15" s="1" t="n"/>
      <c r="H15" s="1" t="n"/>
    </row>
    <row r="16" hidden="1" ht="11.25" customFormat="1" customHeight="1" s="60">
      <c r="A16" s="62" t="inlineStr">
        <is>
          <t>HK</t>
        </is>
      </c>
      <c r="B16" s="62" t="inlineStr">
        <is>
          <t>HK</t>
        </is>
      </c>
      <c r="C16" s="63" t="inlineStr">
        <is>
          <t>T7</t>
        </is>
      </c>
      <c r="D16" s="62" t="inlineStr">
        <is>
          <t>RA Telfs</t>
        </is>
      </c>
      <c r="E16" s="62" t="inlineStr">
        <is>
          <t>AT62 3633 6000 0020 1939</t>
        </is>
      </c>
      <c r="F16" s="64" t="inlineStr">
        <is>
          <t xml:space="preserve">Pluskonto - baldige Schließung 11/2024 </t>
        </is>
      </c>
      <c r="G16" s="59" t="inlineStr">
        <is>
          <t>Formulare noch US!</t>
        </is>
      </c>
      <c r="H16" s="59" t="n"/>
    </row>
    <row r="17">
      <c r="A17" s="5" t="inlineStr">
        <is>
          <t>HK</t>
        </is>
      </c>
      <c r="B17" s="5" t="inlineStr">
        <is>
          <t>HK</t>
        </is>
      </c>
      <c r="C17" s="9" t="inlineStr">
        <is>
          <t>T7</t>
        </is>
      </c>
      <c r="D17" s="5" t="inlineStr">
        <is>
          <t>Tispa</t>
        </is>
      </c>
      <c r="E17" s="5" t="inlineStr">
        <is>
          <t>AT70 2050 3033 0318 1691</t>
        </is>
      </c>
      <c r="F17" s="21" t="inlineStr">
        <is>
          <t>neues Konto ab 12/2024</t>
        </is>
      </c>
      <c r="G17" s="1" t="n"/>
      <c r="H17" s="1" t="n"/>
    </row>
    <row r="18" hidden="1">
      <c r="A18" s="36" t="inlineStr">
        <is>
          <t>HK</t>
        </is>
      </c>
      <c r="B18" s="36" t="inlineStr">
        <is>
          <t>HK</t>
        </is>
      </c>
      <c r="C18" s="81" t="inlineStr">
        <is>
          <t>VEH</t>
        </is>
      </c>
      <c r="D18" s="36" t="inlineStr">
        <is>
          <t>TiSpa</t>
        </is>
      </c>
      <c r="E18" s="36" t="inlineStr">
        <is>
          <t>AT54 2050 3033 5332 3995</t>
        </is>
      </c>
      <c r="F18" s="82" t="inlineStr">
        <is>
          <t xml:space="preserve">Schließung beantragen, </t>
        </is>
      </c>
      <c r="G18" s="1" t="n"/>
      <c r="H18" s="1" t="n"/>
    </row>
    <row r="19" hidden="1">
      <c r="A19" s="36" t="inlineStr">
        <is>
          <t>HK</t>
        </is>
      </c>
      <c r="B19" s="36" t="inlineStr">
        <is>
          <t>HK</t>
        </is>
      </c>
      <c r="C19" s="81" t="inlineStr">
        <is>
          <t>VEH</t>
        </is>
      </c>
      <c r="D19" s="36" t="inlineStr">
        <is>
          <t>TiSpa</t>
        </is>
      </c>
      <c r="E19" s="36" t="inlineStr">
        <is>
          <t>AT86 2050 3033 5332 4001</t>
        </is>
      </c>
      <c r="F19" s="83" t="inlineStr">
        <is>
          <t>Schließung beantragen</t>
        </is>
      </c>
      <c r="G19" s="1" t="n"/>
      <c r="H19" s="1" t="n"/>
    </row>
    <row r="20">
      <c r="C20" s="1" t="n"/>
      <c r="D20" s="1" t="n"/>
      <c r="E20" s="1" t="n"/>
      <c r="F20" s="26" t="n"/>
      <c r="G20" s="1" t="n"/>
      <c r="H20" s="1" t="n"/>
    </row>
    <row r="21">
      <c r="C21" s="1" t="n"/>
      <c r="D21" s="1" t="n"/>
      <c r="E21" s="1" t="n"/>
      <c r="F21" s="26" t="n"/>
      <c r="G21" s="1" t="n"/>
      <c r="H21" s="1" t="n"/>
    </row>
  </sheetData>
  <autoFilter ref="A1:G19"/>
  <pageMargins left="0.25" right="0.25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2"/>
  <sheetViews>
    <sheetView zoomScale="145" zoomScaleNormal="145" workbookViewId="0">
      <selection activeCell="A10" sqref="A10:XFD10"/>
    </sheetView>
  </sheetViews>
  <sheetFormatPr baseColWidth="10" defaultRowHeight="15"/>
  <cols>
    <col width="3.140625" bestFit="1" customWidth="1" min="1" max="1"/>
    <col width="2.7109375" bestFit="1" customWidth="1" min="2" max="2"/>
    <col width="39.28515625" bestFit="1" customWidth="1" min="3" max="3"/>
    <col width="21.140625" bestFit="1" customWidth="1" min="4" max="4"/>
    <col width="15" bestFit="1" customWidth="1" min="5" max="5"/>
    <col width="21" bestFit="1" customWidth="1" min="6" max="6"/>
    <col width="24.5703125" bestFit="1" customWidth="1" min="7" max="7"/>
    <col width="56.140625" bestFit="1" customWidth="1" min="8" max="8"/>
    <col width="11.140625" bestFit="1" customWidth="1" min="9" max="9"/>
    <col width="14.28515625" bestFit="1" customWidth="1" min="10" max="10"/>
  </cols>
  <sheetData>
    <row r="1" ht="11.25" customFormat="1" customHeight="1" s="1">
      <c r="A1" s="41" t="inlineStr">
        <is>
          <t xml:space="preserve">HK </t>
        </is>
      </c>
      <c r="B1" s="41" t="n">
        <v>87</v>
      </c>
      <c r="C1" s="36" t="inlineStr">
        <is>
          <t>Projekt- und Geschäftskonto</t>
        </is>
      </c>
      <c r="D1" s="69" t="inlineStr">
        <is>
          <t>5 Berge Blick Immo</t>
        </is>
      </c>
      <c r="E1" s="36" t="inlineStr">
        <is>
          <t>BTV</t>
        </is>
      </c>
      <c r="F1" s="36" t="inlineStr">
        <is>
          <t>AT80 1600 0001 0067 3657</t>
        </is>
      </c>
      <c r="G1" s="21" t="n"/>
      <c r="H1" s="29" t="inlineStr">
        <is>
          <t>Konto geschlossen</t>
        </is>
      </c>
    </row>
    <row r="2" ht="11.25" customFormat="1" customHeight="1" s="1">
      <c r="A2" s="41" t="n"/>
      <c r="B2" s="41" t="n">
        <v>69</v>
      </c>
      <c r="C2" s="36" t="inlineStr">
        <is>
          <t>Kontokorrent (Baurahmen)</t>
        </is>
      </c>
      <c r="D2" s="57" t="inlineStr">
        <is>
          <t>MBP</t>
        </is>
      </c>
      <c r="E2" s="36" t="inlineStr">
        <is>
          <t>RA Schwaz</t>
        </is>
      </c>
      <c r="F2" s="36" t="inlineStr">
        <is>
          <t>AT43 3632 2000 0018 3145</t>
        </is>
      </c>
      <c r="G2" s="21" t="n"/>
      <c r="H2" s="34" t="inlineStr">
        <is>
          <t>gelöscht mit 07.06.2024</t>
        </is>
      </c>
    </row>
    <row r="3" ht="11.25" customFormat="1" customHeight="1" s="47">
      <c r="A3" s="41" t="n"/>
      <c r="B3" s="41" t="n">
        <v>76</v>
      </c>
      <c r="C3" s="36" t="inlineStr">
        <is>
          <t>Depot für Eigenmittelnachweis Adamgasse</t>
        </is>
      </c>
      <c r="D3" s="56" t="inlineStr">
        <is>
          <t>MH</t>
        </is>
      </c>
      <c r="E3" s="36" t="inlineStr">
        <is>
          <t>Tispa</t>
        </is>
      </c>
      <c r="F3" s="36" t="inlineStr">
        <is>
          <t>AT13 2050 3033 0274 4374</t>
        </is>
      </c>
      <c r="G3" s="37" t="inlineStr">
        <is>
          <t>Pluskonto</t>
        </is>
      </c>
      <c r="H3" s="85" t="inlineStr">
        <is>
          <t>Konto Schließung 11.04.2024</t>
        </is>
      </c>
    </row>
    <row r="4" ht="11.25" customFormat="1" customHeight="1" s="1">
      <c r="A4" s="11" t="n"/>
      <c r="B4" s="41" t="n">
        <v>76</v>
      </c>
      <c r="C4" s="36" t="inlineStr">
        <is>
          <t>Bankgarantie Eigenmittel BTV</t>
        </is>
      </c>
      <c r="D4" s="56" t="inlineStr">
        <is>
          <t>MH</t>
        </is>
      </c>
      <c r="E4" s="36" t="inlineStr">
        <is>
          <t>Tispa</t>
        </is>
      </c>
      <c r="F4" s="36" t="n"/>
      <c r="G4" s="21" t="inlineStr">
        <is>
          <t>1.185</t>
        </is>
      </c>
      <c r="H4" s="29" t="n"/>
    </row>
    <row r="5" ht="11.25" customFormat="1" customHeight="1" s="47">
      <c r="A5" s="41" t="n"/>
      <c r="B5" s="41" t="n"/>
      <c r="C5" s="37" t="inlineStr">
        <is>
          <t>Moser Immobilien Holding GmbH - Termineinlage</t>
        </is>
      </c>
      <c r="D5" s="56" t="n"/>
      <c r="E5" s="36" t="inlineStr">
        <is>
          <t>Tispa</t>
        </is>
      </c>
      <c r="F5" s="36" t="inlineStr">
        <is>
          <t>AT41 2050 3033 0308 6668</t>
        </is>
      </c>
      <c r="G5" s="37" t="inlineStr">
        <is>
          <t>Schließung per 17.10.2024</t>
        </is>
      </c>
      <c r="H5" s="51" t="inlineStr">
        <is>
          <t>neu 11.04.2024 - Termineinlage zu Liquititätskonto 6635 und Girokonto 6601</t>
        </is>
      </c>
    </row>
    <row r="6" ht="11.25" customFormat="1" customHeight="1" s="1">
      <c r="A6" s="11" t="n"/>
      <c r="B6" s="41" t="n"/>
      <c r="C6" s="36" t="inlineStr">
        <is>
          <t>Abstattungskredit Skoda</t>
        </is>
      </c>
      <c r="D6" s="56" t="inlineStr">
        <is>
          <t>MH</t>
        </is>
      </c>
      <c r="E6" s="36" t="inlineStr">
        <is>
          <t>RA Schwaz</t>
        </is>
      </c>
      <c r="F6" s="36" t="inlineStr">
        <is>
          <t>AT33 3632 2000 2029 2686</t>
        </is>
      </c>
      <c r="G6" s="37" t="n">
        <v>43.7</v>
      </c>
      <c r="H6" s="85" t="inlineStr">
        <is>
          <t>geschlossen</t>
        </is>
      </c>
    </row>
    <row r="7" ht="11.25" customFormat="1" customHeight="1" s="47">
      <c r="A7" s="41" t="n"/>
      <c r="B7" s="41" t="n"/>
      <c r="C7" s="36" t="inlineStr">
        <is>
          <t>Moser Immobilien Holding GmbH - Liquititäskonto</t>
        </is>
      </c>
      <c r="D7" s="56" t="inlineStr">
        <is>
          <t>MH</t>
        </is>
      </c>
      <c r="E7" s="36" t="inlineStr">
        <is>
          <t>Tispa</t>
        </is>
      </c>
      <c r="F7" s="36" t="inlineStr">
        <is>
          <t>AT59 2050 3033 0308 6635</t>
        </is>
      </c>
      <c r="G7" s="37" t="n"/>
      <c r="H7" s="76" t="inlineStr">
        <is>
          <t>wird geschlossen</t>
        </is>
      </c>
    </row>
    <row r="8" ht="11.25" customFormat="1" customHeight="1" s="1">
      <c r="A8" s="11" t="n"/>
      <c r="B8" s="41" t="n">
        <v>25</v>
      </c>
      <c r="C8" s="36" t="inlineStr">
        <is>
          <t>Avale Käufer</t>
        </is>
      </c>
      <c r="D8" s="72" t="inlineStr">
        <is>
          <t>MIGNA</t>
        </is>
      </c>
      <c r="E8" s="36" t="inlineStr">
        <is>
          <t>RA Hall</t>
        </is>
      </c>
      <c r="F8" s="36" t="inlineStr">
        <is>
          <t>AT57 3636 2000 7001 4642</t>
        </is>
      </c>
      <c r="G8" s="21" t="n">
        <v>413.632</v>
      </c>
      <c r="H8" s="29" t="n"/>
    </row>
    <row r="9" ht="11.25" customFormat="1" customHeight="1" s="1">
      <c r="A9" s="41" t="n"/>
      <c r="B9" s="41" t="n">
        <v>28</v>
      </c>
      <c r="C9" s="36" t="inlineStr">
        <is>
          <t>Kranebitterhof (Avalkredit)</t>
        </is>
      </c>
      <c r="D9" s="72" t="inlineStr">
        <is>
          <t>MIGNA</t>
        </is>
      </c>
      <c r="E9" s="36" t="inlineStr">
        <is>
          <t>RA Hall</t>
        </is>
      </c>
      <c r="F9" s="36" t="inlineStr">
        <is>
          <t>AT57 3636 2000 7005 9068</t>
        </is>
      </c>
      <c r="G9" s="37" t="inlineStr">
        <is>
          <t>1.098</t>
        </is>
      </c>
      <c r="H9" s="29" t="n"/>
    </row>
    <row r="10" ht="11.25" customFormat="1" customHeight="1" s="1">
      <c r="A10" s="41" t="inlineStr">
        <is>
          <t xml:space="preserve">HK </t>
        </is>
      </c>
      <c r="B10" s="41" t="n">
        <v>28</v>
      </c>
      <c r="C10" s="36" t="inlineStr">
        <is>
          <t>Kranebitterhof + Geschäftskonto</t>
        </is>
      </c>
      <c r="D10" s="69" t="inlineStr">
        <is>
          <t>MIGNA</t>
        </is>
      </c>
      <c r="E10" s="36" t="inlineStr">
        <is>
          <t>RA Hall</t>
        </is>
      </c>
      <c r="F10" s="36" t="inlineStr">
        <is>
          <t>AT90 3636 2001 0015 6992</t>
        </is>
      </c>
      <c r="G10" s="21" t="inlineStr">
        <is>
          <t>400.000</t>
        </is>
      </c>
      <c r="H10" s="21" t="inlineStr">
        <is>
          <t>Konto gelöscht</t>
        </is>
      </c>
    </row>
    <row r="11" ht="11.25" customFormat="1" customHeight="1" s="1">
      <c r="A11" s="41" t="inlineStr">
        <is>
          <t xml:space="preserve">HK </t>
        </is>
      </c>
      <c r="B11" s="41" t="n"/>
      <c r="C11" s="36" t="inlineStr">
        <is>
          <t>Geschäftskonto</t>
        </is>
      </c>
      <c r="D11" s="58" t="inlineStr">
        <is>
          <t>MInvest</t>
        </is>
      </c>
      <c r="E11" s="36" t="inlineStr">
        <is>
          <t>Hypo Tirol</t>
        </is>
      </c>
      <c r="F11" s="36" t="inlineStr">
        <is>
          <t>AT87 5700 0300 5563 4596</t>
        </is>
      </c>
      <c r="G11" s="37" t="inlineStr">
        <is>
          <t>Pluskonto</t>
        </is>
      </c>
      <c r="H11" s="29" t="inlineStr">
        <is>
          <t>Schließung beantragt 15.07.2024</t>
        </is>
      </c>
    </row>
    <row r="12" ht="11.25" customFormat="1" customHeight="1" s="1">
      <c r="A12" s="41" t="n"/>
      <c r="B12" s="41" t="n">
        <v>86</v>
      </c>
      <c r="C12" s="36" t="inlineStr">
        <is>
          <t>Wien, Peter Jordan Str. 73</t>
        </is>
      </c>
      <c r="D12" s="55" t="inlineStr">
        <is>
          <t>MIW PJS73 GmbH &amp; Co KG</t>
        </is>
      </c>
      <c r="E12" s="36" t="inlineStr">
        <is>
          <t>Tispa</t>
        </is>
      </c>
      <c r="F12" s="36" t="inlineStr">
        <is>
          <t>AT97 2050 3033 0297 9251</t>
        </is>
      </c>
      <c r="G12" s="21" t="n"/>
      <c r="H12" s="34" t="inlineStr">
        <is>
          <t>neu ab 08.08.2023 // Schließung mit 15.07.2024</t>
        </is>
      </c>
    </row>
    <row r="13" ht="11.25" customFormat="1" customHeight="1" s="47">
      <c r="A13" s="41" t="n"/>
      <c r="B13" s="41" t="n">
        <v>86</v>
      </c>
      <c r="C13" s="36" t="inlineStr">
        <is>
          <t>BV86 – Wien, Peter Jordan Str. 73</t>
        </is>
      </c>
      <c r="D13" s="55" t="inlineStr">
        <is>
          <t>MIW PJS73 GmbH &amp; Co KG</t>
        </is>
      </c>
      <c r="E13" s="36" t="inlineStr">
        <is>
          <t>Hypo Vorarlberg</t>
        </is>
      </c>
      <c r="F13" s="36" t="inlineStr">
        <is>
          <t>AT25 5800 0206 8519 1025</t>
        </is>
      </c>
      <c r="G13" s="37" t="inlineStr">
        <is>
          <t>Pluskonto</t>
        </is>
      </c>
      <c r="H13" s="43" t="inlineStr">
        <is>
          <t>Schließung per 03.08.2023</t>
        </is>
      </c>
    </row>
    <row r="14" ht="11.25" customFormat="1" customHeight="1" s="47">
      <c r="A14" s="41" t="n"/>
      <c r="B14" s="41" t="n">
        <v>86</v>
      </c>
      <c r="C14" s="36" t="inlineStr">
        <is>
          <t>BV86 – Wien, Peter Jordan Str. 73</t>
        </is>
      </c>
      <c r="D14" s="55" t="inlineStr">
        <is>
          <t>MIW PJS73 GmbH &amp; Co KG</t>
        </is>
      </c>
      <c r="E14" s="36" t="inlineStr">
        <is>
          <t>Hypo Vorarlberg</t>
        </is>
      </c>
      <c r="F14" s="36" t="inlineStr">
        <is>
          <t>AT47 5800 0206 8519 1017</t>
        </is>
      </c>
      <c r="G14" s="37" t="inlineStr">
        <is>
          <t>4.905</t>
        </is>
      </c>
      <c r="H14" s="43" t="inlineStr">
        <is>
          <t>Schließung per 03.08.2023</t>
        </is>
      </c>
    </row>
    <row r="15" ht="11.25" customFormat="1" customHeight="1" s="1">
      <c r="A15" s="11" t="n"/>
      <c r="B15" s="41" t="n">
        <v>70</v>
      </c>
      <c r="C15" s="36" t="inlineStr">
        <is>
          <t>Wien, Rauchfangkehrergasse</t>
        </is>
      </c>
      <c r="D15" s="55" t="inlineStr">
        <is>
          <t>MIW RG</t>
        </is>
      </c>
      <c r="E15" s="36" t="inlineStr">
        <is>
          <t>Spa Stmk</t>
        </is>
      </c>
      <c r="F15" s="36" t="inlineStr">
        <is>
          <t>AT97 2081 5000 4383 7152</t>
        </is>
      </c>
      <c r="G15" s="21" t="inlineStr">
        <is>
          <t>3.600</t>
        </is>
      </c>
      <c r="H15" s="29" t="inlineStr">
        <is>
          <t>geschlossen</t>
        </is>
      </c>
    </row>
    <row r="16" ht="11.25" customFormat="1" customHeight="1" s="1">
      <c r="A16" s="41" t="n"/>
      <c r="B16" s="41" t="n"/>
      <c r="C16" s="36" t="inlineStr">
        <is>
          <t>Geschäftskonto</t>
        </is>
      </c>
      <c r="D16" s="71" t="inlineStr">
        <is>
          <t>MTE</t>
        </is>
      </c>
      <c r="E16" s="36" t="inlineStr">
        <is>
          <t>Hypo Tirol</t>
        </is>
      </c>
      <c r="F16" s="36" t="inlineStr">
        <is>
          <t>AT19 5700 0300 5559 9154</t>
        </is>
      </c>
      <c r="G16" s="21" t="inlineStr">
        <is>
          <t>Pluskonto</t>
        </is>
      </c>
      <c r="H16" s="29" t="inlineStr">
        <is>
          <t>Konto geschlossen</t>
        </is>
      </c>
    </row>
    <row r="17" ht="11.25" customFormat="1" customHeight="1" s="47">
      <c r="A17" s="41" t="n"/>
      <c r="B17" s="41" t="n">
        <v>32</v>
      </c>
      <c r="C17" s="36" t="inlineStr">
        <is>
          <t>BV32 – Pradler Str. 2 (Finanzierung)</t>
        </is>
      </c>
      <c r="D17" s="44" t="inlineStr">
        <is>
          <t>MWB</t>
        </is>
      </c>
      <c r="E17" s="36" t="inlineStr">
        <is>
          <t>Hypo Tirol</t>
        </is>
      </c>
      <c r="F17" s="36" t="inlineStr">
        <is>
          <t>AT46 5700 0302 5323 1803</t>
        </is>
      </c>
      <c r="G17" s="37" t="n">
        <v>495</v>
      </c>
      <c r="H17" s="43" t="inlineStr">
        <is>
          <t>Schließung per 31.07.2023</t>
        </is>
      </c>
    </row>
    <row r="18" ht="11.25" customFormat="1" customHeight="1" s="47">
      <c r="A18" s="41" t="n"/>
      <c r="B18" s="41" t="n">
        <v>18</v>
      </c>
      <c r="C18" s="36" t="inlineStr">
        <is>
          <t>Colingasse 10 (Bankgarantie)</t>
        </is>
      </c>
      <c r="D18" s="44" t="inlineStr">
        <is>
          <t>MWB</t>
        </is>
      </c>
      <c r="E18" s="36" t="inlineStr">
        <is>
          <t>Tispa</t>
        </is>
      </c>
      <c r="F18" s="36" t="inlineStr">
        <is>
          <t>AT29 2050 3033 3116 0527</t>
        </is>
      </c>
      <c r="G18" s="37" t="n">
        <v>300</v>
      </c>
      <c r="H18" s="51" t="n"/>
    </row>
    <row r="19" ht="11.25" customFormat="1" customHeight="1" s="47">
      <c r="A19" s="41" t="n"/>
      <c r="B19" s="41" t="n">
        <v>18</v>
      </c>
      <c r="C19" s="36" t="inlineStr">
        <is>
          <t>Haftungskonto (Bankgar. Käufer)</t>
        </is>
      </c>
      <c r="D19" s="44" t="inlineStr">
        <is>
          <t>MWB</t>
        </is>
      </c>
      <c r="E19" s="36" t="inlineStr">
        <is>
          <t>Tispa</t>
        </is>
      </c>
      <c r="F19" s="36" t="inlineStr">
        <is>
          <t>AT69 2050 3033 3144 5084</t>
        </is>
      </c>
      <c r="G19" s="37" t="inlineStr">
        <is>
          <t>LZ 12 2023</t>
        </is>
      </c>
      <c r="H19" s="51" t="n"/>
    </row>
    <row r="20" ht="11.25" customFormat="1" customHeight="1" s="1">
      <c r="A20" s="11" t="n"/>
      <c r="B20" s="36" t="n">
        <v>30</v>
      </c>
      <c r="C20" s="36" t="inlineStr">
        <is>
          <t>Avalkredit (Bankgarantie Käufer)</t>
        </is>
      </c>
      <c r="D20" s="41" t="inlineStr">
        <is>
          <t>MWB</t>
        </is>
      </c>
      <c r="E20" s="36" t="inlineStr">
        <is>
          <t>Hypo Tirol</t>
        </is>
      </c>
      <c r="F20" s="36" t="n">
        <v>30553413150</v>
      </c>
      <c r="G20" s="36" t="n">
        <v>345</v>
      </c>
      <c r="H20" s="29" t="inlineStr">
        <is>
          <t>ausgelaufen</t>
        </is>
      </c>
    </row>
    <row r="21" ht="11.25" customFormat="1" customHeight="1" s="1">
      <c r="A21" s="41" t="n"/>
      <c r="B21" s="36" t="n">
        <v>32</v>
      </c>
      <c r="C21" s="36" t="inlineStr">
        <is>
          <t>Pradlerstraße 2</t>
        </is>
      </c>
      <c r="D21" s="41" t="inlineStr">
        <is>
          <t>MWB</t>
        </is>
      </c>
      <c r="E21" s="36" t="inlineStr">
        <is>
          <t>Hypo Tirol</t>
        </is>
      </c>
      <c r="F21" s="36" t="inlineStr">
        <is>
          <t>AT02 5700 0300 5542 5733</t>
        </is>
      </c>
      <c r="G21" s="36" t="inlineStr">
        <is>
          <t>400 Prom.600</t>
        </is>
      </c>
      <c r="H21" s="34" t="inlineStr">
        <is>
          <t>Kontoschließung per 12.04.2024</t>
        </is>
      </c>
    </row>
    <row r="22" ht="11.25" customFormat="1" customHeight="1" s="1">
      <c r="A22" s="11" t="n"/>
      <c r="B22" s="36" t="n">
        <v>34</v>
      </c>
      <c r="C22" s="36" t="inlineStr">
        <is>
          <t>Avalkredit (Bankgarantie Käufer)</t>
        </is>
      </c>
      <c r="D22" s="41" t="inlineStr">
        <is>
          <t>MWB</t>
        </is>
      </c>
      <c r="E22" s="36" t="inlineStr">
        <is>
          <t>Hypo Tirol</t>
        </is>
      </c>
      <c r="F22" s="36" t="inlineStr">
        <is>
          <t>2022.1003974/3055414717</t>
        </is>
      </c>
      <c r="G22" s="36" t="n"/>
      <c r="H22" s="29" t="inlineStr">
        <is>
          <t>ausgelaufen</t>
        </is>
      </c>
    </row>
    <row r="23" ht="11.25" customFormat="1" customHeight="1" s="1">
      <c r="A23" s="11" t="n"/>
      <c r="B23" s="36" t="n">
        <v>35</v>
      </c>
      <c r="C23" s="36" t="inlineStr">
        <is>
          <t>Patsch, Haftungskredit für Gemeinde</t>
        </is>
      </c>
      <c r="D23" s="41" t="inlineStr">
        <is>
          <t>MWB</t>
        </is>
      </c>
      <c r="E23" s="36" t="inlineStr">
        <is>
          <t>Tispa</t>
        </is>
      </c>
      <c r="F23" s="36" t="inlineStr">
        <is>
          <t>AT85 2050 3033 3138 1552</t>
        </is>
      </c>
      <c r="G23" s="36" t="n">
        <v>30</v>
      </c>
      <c r="H23" s="29" t="inlineStr">
        <is>
          <t>ausgelaufen</t>
        </is>
      </c>
    </row>
    <row r="24" ht="11.25" customFormat="1" customHeight="1" s="1">
      <c r="A24" s="11" t="inlineStr">
        <is>
          <t>s</t>
        </is>
      </c>
      <c r="B24" s="41" t="n">
        <v>38</v>
      </c>
      <c r="C24" s="36" t="inlineStr">
        <is>
          <t>Völs, Flora</t>
        </is>
      </c>
      <c r="D24" s="44" t="inlineStr">
        <is>
          <t>MWB</t>
        </is>
      </c>
      <c r="E24" s="36" t="inlineStr">
        <is>
          <t>RA Tirol Mitte West</t>
        </is>
      </c>
      <c r="F24" s="36" t="inlineStr">
        <is>
          <t>AT52 3633 6000 0123 9631</t>
        </is>
      </c>
      <c r="G24" s="21" t="inlineStr">
        <is>
          <t>4.555</t>
        </is>
      </c>
      <c r="H24" s="34" t="inlineStr">
        <is>
          <t xml:space="preserve">ab 18.07. Erhöhung auf 1 Mio. also 3.755.000 // 17.09 + 0,8 Mio </t>
        </is>
      </c>
      <c r="I24" s="1">
        <f>3755000+800000</f>
        <v/>
      </c>
    </row>
    <row r="25" ht="11.25" customFormat="1" customHeight="1" s="67">
      <c r="A25" s="11" t="n"/>
      <c r="B25" s="36" t="n">
        <v>39</v>
      </c>
      <c r="C25" s="36" t="inlineStr">
        <is>
          <t>Avalkredit Swietelsky (Baugarantie)</t>
        </is>
      </c>
      <c r="D25" s="41" t="inlineStr">
        <is>
          <t>MWB</t>
        </is>
      </c>
      <c r="E25" s="36" t="inlineStr">
        <is>
          <t>RA Hall</t>
        </is>
      </c>
      <c r="F25" s="36" t="inlineStr">
        <is>
          <t>AT05 3636 2000 7001 4899</t>
        </is>
      </c>
      <c r="G25" s="36" t="n">
        <v>266</v>
      </c>
      <c r="H25" s="29" t="inlineStr">
        <is>
          <t>ausgelaufen</t>
        </is>
      </c>
    </row>
    <row r="26" ht="11.25" customFormat="1" customHeight="1" s="1">
      <c r="A26" s="65" t="n"/>
      <c r="B26" s="73" t="n">
        <v>39</v>
      </c>
      <c r="C26" s="74" t="inlineStr">
        <is>
          <t>Mühlau</t>
        </is>
      </c>
      <c r="D26" s="75" t="inlineStr">
        <is>
          <t>MWB</t>
        </is>
      </c>
      <c r="E26" s="74" t="inlineStr">
        <is>
          <t>RA Hall</t>
        </is>
      </c>
      <c r="F26" s="36" t="inlineStr">
        <is>
          <t>AT04 3636 2001 0014 4378</t>
        </is>
      </c>
      <c r="G26" s="36" t="inlineStr">
        <is>
          <t>2.700!!</t>
        </is>
      </c>
      <c r="H26" s="66" t="inlineStr">
        <is>
          <t>ausgelaufen</t>
        </is>
      </c>
    </row>
    <row r="27" ht="11.25" customFormat="1" customHeight="1" s="1">
      <c r="A27" s="41" t="inlineStr">
        <is>
          <t xml:space="preserve">HK </t>
        </is>
      </c>
      <c r="B27" s="41" t="n"/>
      <c r="C27" s="36" t="inlineStr">
        <is>
          <t>Geschäftskonto</t>
        </is>
      </c>
      <c r="D27" s="70" t="inlineStr">
        <is>
          <t>MWL</t>
        </is>
      </c>
      <c r="E27" s="36" t="inlineStr">
        <is>
          <t>Hypo Tirol</t>
        </is>
      </c>
      <c r="F27" s="36" t="inlineStr">
        <is>
          <t>AT60 5700 0300 5563 0426</t>
        </is>
      </c>
      <c r="G27" s="37" t="inlineStr">
        <is>
          <t>Pluskonto</t>
        </is>
      </c>
      <c r="H27" s="29" t="inlineStr">
        <is>
          <t>Konto geschlossen</t>
        </is>
      </c>
    </row>
    <row r="28" ht="11.25" customFormat="1" customHeight="1" s="47">
      <c r="A28" s="41" t="n"/>
      <c r="B28" s="41" t="n">
        <v>41</v>
      </c>
      <c r="C28" s="36" t="inlineStr">
        <is>
          <t>BV41 – Fixvorlage Völs Seesiedlung</t>
        </is>
      </c>
      <c r="D28" s="42" t="inlineStr">
        <is>
          <t>MWP</t>
        </is>
      </c>
      <c r="E28" s="36" t="inlineStr">
        <is>
          <t>BTV</t>
        </is>
      </c>
      <c r="F28" s="36" t="inlineStr">
        <is>
          <t>AT20 1600 0001 0063 6131</t>
        </is>
      </c>
      <c r="G28" s="37" t="inlineStr">
        <is>
          <t>2.200</t>
        </is>
      </c>
      <c r="H28" s="51" t="inlineStr">
        <is>
          <t>Geschlossen lt. SM</t>
        </is>
      </c>
      <c r="I28" s="51" t="n"/>
    </row>
    <row r="29" ht="11.25" customFormat="1" customHeight="1" s="1">
      <c r="A29" s="41" t="n"/>
      <c r="B29" s="41" t="n">
        <v>41</v>
      </c>
      <c r="C29" s="36" t="inlineStr">
        <is>
          <t>BV41 – Völs Seesiedlung</t>
        </is>
      </c>
      <c r="D29" s="42" t="inlineStr">
        <is>
          <t>MWP</t>
        </is>
      </c>
      <c r="E29" s="36" t="inlineStr">
        <is>
          <t>BTV</t>
        </is>
      </c>
      <c r="F29" s="36" t="inlineStr">
        <is>
          <t>AT64 1600 0001 0063 6115</t>
        </is>
      </c>
      <c r="G29" s="37" t="inlineStr">
        <is>
          <t>Pluskonto</t>
        </is>
      </c>
      <c r="H29" s="43" t="inlineStr">
        <is>
          <t>Schließung per 03.08.2023</t>
        </is>
      </c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</row>
    <row r="30" ht="11.25" customFormat="1" customHeight="1" s="1">
      <c r="A30" s="41" t="n"/>
      <c r="B30" s="41" t="n">
        <v>44</v>
      </c>
      <c r="C30" s="36" t="inlineStr">
        <is>
          <t>IBK, Nagillergasse Einmalbarkredit</t>
        </is>
      </c>
      <c r="D30" s="42" t="inlineStr">
        <is>
          <t>MWP</t>
        </is>
      </c>
      <c r="E30" s="36" t="inlineStr">
        <is>
          <t>VB Tirol</t>
        </is>
      </c>
      <c r="F30" s="36" t="inlineStr">
        <is>
          <t>AT20 4239 0032 0008 9517</t>
        </is>
      </c>
      <c r="G30" s="35" t="inlineStr">
        <is>
          <t>1.500</t>
        </is>
      </c>
      <c r="H30" s="29" t="n"/>
      <c r="I30" s="29" t="n"/>
    </row>
    <row r="31" ht="11.25" customFormat="1" customHeight="1" s="1">
      <c r="A31" s="41" t="n"/>
      <c r="B31" s="41" t="n">
        <v>44</v>
      </c>
      <c r="C31" s="36" t="inlineStr">
        <is>
          <t>Nagillergasse NG79, Projektkonto</t>
        </is>
      </c>
      <c r="D31" s="42" t="inlineStr">
        <is>
          <t>MWP</t>
        </is>
      </c>
      <c r="E31" s="36" t="inlineStr">
        <is>
          <t>VB Tirol</t>
        </is>
      </c>
      <c r="F31" s="36" t="inlineStr">
        <is>
          <t>AT55 4239 0030 0004 0743</t>
        </is>
      </c>
      <c r="G31" s="78" t="inlineStr">
        <is>
          <t>2.000</t>
        </is>
      </c>
      <c r="H31" s="86" t="n"/>
      <c r="I31" s="29" t="n"/>
    </row>
    <row r="32" ht="22.5" customFormat="1" customHeight="1" s="1">
      <c r="A32" s="41" t="n"/>
      <c r="B32" s="41" t="n">
        <v>45</v>
      </c>
      <c r="C32" s="36" t="inlineStr">
        <is>
          <t>Lans, Ranserweg Grundstücksfinanzierung Teil 1</t>
        </is>
      </c>
      <c r="D32" s="42" t="inlineStr">
        <is>
          <t>MWP</t>
        </is>
      </c>
      <c r="E32" s="36" t="inlineStr">
        <is>
          <t>RA Schwaz-Wattens</t>
        </is>
      </c>
      <c r="F32" s="36" t="inlineStr">
        <is>
          <t>AT41 3632 2000 0736 0696</t>
        </is>
      </c>
      <c r="G32" s="37" t="inlineStr">
        <is>
          <t>1.350 per 17.09.
1.630 per 08.08.</t>
        </is>
      </c>
      <c r="H32" s="36" t="inlineStr">
        <is>
          <t>alter IBAN: AT49 3635 1000 0036 0693</t>
        </is>
      </c>
      <c r="I32" s="2" t="inlineStr">
        <is>
          <t>***neuer IBAN ab 09.09.2023</t>
        </is>
      </c>
      <c r="J32" s="2" t="inlineStr">
        <is>
          <t>Fusionierung RA Wattens + Schwaz</t>
        </is>
      </c>
    </row>
    <row r="33" ht="22.5" customFormat="1" customHeight="1" s="1">
      <c r="A33" s="41" t="n"/>
      <c r="B33" s="41" t="n">
        <v>45</v>
      </c>
      <c r="C33" s="36" t="inlineStr">
        <is>
          <t>Lans, Ranserweg Baurahmen</t>
        </is>
      </c>
      <c r="D33" s="42" t="inlineStr">
        <is>
          <t>MWP</t>
        </is>
      </c>
      <c r="E33" s="36" t="inlineStr">
        <is>
          <t>RA Schwaz-Wattens</t>
        </is>
      </c>
      <c r="F33" s="36" t="inlineStr">
        <is>
          <t xml:space="preserve">AT90 3632 2000 0731 6649 </t>
        </is>
      </c>
      <c r="G33" s="21" t="inlineStr">
        <is>
          <t>1.200 (per 20.03.2024) // 600 T  (per 04/2024) // 0 per 03.06.2024</t>
        </is>
      </c>
      <c r="H33" s="79" t="inlineStr">
        <is>
          <t>mit Februar 2026 schließen, BK auf 9160</t>
        </is>
      </c>
      <c r="I33" s="2" t="inlineStr">
        <is>
          <t>***neuer IBAN ab 09.09.2023</t>
        </is>
      </c>
      <c r="J33" s="2" t="inlineStr">
        <is>
          <t>Fusionierung RA Wattens + Schwaz</t>
        </is>
      </c>
    </row>
    <row r="34" ht="22.5" customFormat="1" customHeight="1" s="47">
      <c r="A34" s="41" t="n"/>
      <c r="B34" s="41" t="n">
        <v>45</v>
      </c>
      <c r="C34" s="36" t="inlineStr">
        <is>
          <t>Lans, Ranserweg Grundstücksfinanzierung Teil 2</t>
        </is>
      </c>
      <c r="D34" s="42" t="inlineStr">
        <is>
          <t>MWP</t>
        </is>
      </c>
      <c r="E34" s="36" t="inlineStr">
        <is>
          <t>RA Schwaz-Wattens</t>
        </is>
      </c>
      <c r="F34" s="36" t="inlineStr">
        <is>
          <t xml:space="preserve">AT19 3632 2000 0736 0704 </t>
        </is>
      </c>
      <c r="G34" s="37" t="n">
        <v>200</v>
      </c>
      <c r="H34" s="36" t="inlineStr">
        <is>
          <t>wird mit 30.06.2024 geschlossen</t>
        </is>
      </c>
      <c r="I34" s="61" t="inlineStr">
        <is>
          <t>***neuer IBAN ab 09.09.2023</t>
        </is>
      </c>
      <c r="J34" s="61" t="inlineStr">
        <is>
          <t>Fusionierung RA Wattens + Schwaz</t>
        </is>
      </c>
    </row>
    <row r="35" ht="11.25" customFormat="1" customHeight="1" s="47">
      <c r="A35" s="41" t="n"/>
      <c r="B35" s="41" t="n">
        <v>61</v>
      </c>
      <c r="C35" s="61" t="inlineStr">
        <is>
          <t>Hunoldstraße</t>
        </is>
      </c>
      <c r="D35" s="42" t="inlineStr">
        <is>
          <t>MWP</t>
        </is>
      </c>
      <c r="E35" s="36" t="inlineStr">
        <is>
          <t>Hypo Tirol</t>
        </is>
      </c>
      <c r="F35" s="36" t="inlineStr">
        <is>
          <t>AT11 5700 0302 5335 6690</t>
        </is>
      </c>
      <c r="G35" s="37" t="inlineStr">
        <is>
          <t>6.800</t>
        </is>
      </c>
      <c r="H35" s="51" t="n"/>
    </row>
    <row r="36" ht="11.25" customFormat="1" customHeight="1" s="1">
      <c r="A36" s="41" t="n"/>
      <c r="B36" s="41" t="n">
        <v>61</v>
      </c>
      <c r="C36" s="36" t="inlineStr">
        <is>
          <t>Hunoldstraße Kontokorrent</t>
        </is>
      </c>
      <c r="D36" s="42" t="inlineStr">
        <is>
          <t>MWP</t>
        </is>
      </c>
      <c r="E36" s="36" t="inlineStr">
        <is>
          <t>Hypo Tirol</t>
        </is>
      </c>
      <c r="F36" s="36" t="inlineStr">
        <is>
          <t>AT91 5700 0300 5564 8783</t>
        </is>
      </c>
      <c r="G36" s="37" t="inlineStr">
        <is>
          <t>Pluskonto</t>
        </is>
      </c>
      <c r="H36" s="29" t="inlineStr">
        <is>
          <t>Konto Schließung 03.07.2024</t>
        </is>
      </c>
    </row>
    <row r="37" ht="11.25" customFormat="1" customHeight="1" s="47">
      <c r="A37" s="41" t="n"/>
      <c r="B37" s="41" t="n">
        <v>72</v>
      </c>
      <c r="C37" s="36" t="inlineStr">
        <is>
          <t>BV72 – Mutters</t>
        </is>
      </c>
      <c r="D37" s="42" t="inlineStr">
        <is>
          <t>MWP</t>
        </is>
      </c>
      <c r="E37" s="36" t="inlineStr">
        <is>
          <t>RA westl. Mittelgeb.</t>
        </is>
      </c>
      <c r="F37" s="36" t="inlineStr">
        <is>
          <t>AT95 3620 9000 0028 9959</t>
        </is>
      </c>
      <c r="G37" s="37" t="inlineStr">
        <is>
          <t>1.650</t>
        </is>
      </c>
      <c r="H37" s="51" t="inlineStr">
        <is>
          <t>geändert auf 9955 lt. Raika</t>
        </is>
      </c>
    </row>
    <row r="38" ht="14.45" customFormat="1" customHeight="1" s="47">
      <c r="A38" s="41" t="n"/>
      <c r="B38" s="41" t="n">
        <v>82</v>
      </c>
      <c r="C38" s="36" t="inlineStr">
        <is>
          <t>BV82 – St. Johann</t>
        </is>
      </c>
      <c r="D38" s="42" t="inlineStr">
        <is>
          <t>MWP</t>
        </is>
      </c>
      <c r="E38" s="36" t="inlineStr">
        <is>
          <t>Spa Kitzbühel</t>
        </is>
      </c>
      <c r="F38" s="36" t="inlineStr">
        <is>
          <t>AT16 2050 5000 0731 7720</t>
        </is>
      </c>
      <c r="G38" s="37" t="inlineStr">
        <is>
          <t>1.306</t>
        </is>
      </c>
      <c r="H38" s="51" t="inlineStr">
        <is>
          <t>Konto geschlossen</t>
        </is>
      </c>
    </row>
    <row r="39" ht="11.25" customFormat="1" customHeight="1" s="47">
      <c r="A39" s="41" t="n"/>
      <c r="B39" s="41" t="n">
        <v>83</v>
      </c>
      <c r="C39" s="36" t="inlineStr">
        <is>
          <t>BV83 – Aldrans, Ranser Feld</t>
        </is>
      </c>
      <c r="D39" s="42" t="inlineStr">
        <is>
          <t>MWP</t>
        </is>
      </c>
      <c r="E39" s="36" t="inlineStr">
        <is>
          <t>RA Schwaz</t>
        </is>
      </c>
      <c r="F39" s="36" t="inlineStr">
        <is>
          <t>AT78 3632 2000 0018 1933</t>
        </is>
      </c>
      <c r="G39" s="37" t="inlineStr">
        <is>
          <t>2.150</t>
        </is>
      </c>
      <c r="H39" s="51" t="inlineStr">
        <is>
          <t>Geschlossen lt. SM</t>
        </is>
      </c>
    </row>
    <row r="40" ht="11.25" customFormat="1" customHeight="1" s="47">
      <c r="A40" s="41" t="n"/>
      <c r="B40" s="41" t="n">
        <v>81</v>
      </c>
      <c r="C40" s="36" t="inlineStr">
        <is>
          <t>Kirchdorf, Auenweg Haftung Madlen</t>
        </is>
      </c>
      <c r="D40" s="42" t="inlineStr">
        <is>
          <t>MWP</t>
        </is>
      </c>
      <c r="E40" s="36" t="inlineStr">
        <is>
          <t>Spa Kitzbühel</t>
        </is>
      </c>
      <c r="F40" s="36" t="inlineStr">
        <is>
          <t>AT11 2050 5000 7904 4848</t>
        </is>
      </c>
      <c r="G40" s="37" t="inlineStr">
        <is>
          <t>1.094,478</t>
        </is>
      </c>
      <c r="H40" s="51" t="n"/>
    </row>
    <row r="41" ht="11.25" customFormat="1" customHeight="1" s="47">
      <c r="A41" s="41" t="inlineStr">
        <is>
          <t xml:space="preserve">HK </t>
        </is>
      </c>
      <c r="B41" s="41" t="n"/>
      <c r="C41" s="36" t="inlineStr">
        <is>
          <t xml:space="preserve">HK - Geschäftskonto </t>
        </is>
      </c>
      <c r="D41" s="42" t="inlineStr">
        <is>
          <t>MWP</t>
        </is>
      </c>
      <c r="E41" s="36" t="inlineStr">
        <is>
          <t>Oberbank</t>
        </is>
      </c>
      <c r="F41" s="36" t="inlineStr">
        <is>
          <t>AT70 1500 0043 8103 4794</t>
        </is>
      </c>
      <c r="G41" s="37" t="n"/>
      <c r="H41" s="52" t="inlineStr">
        <is>
          <t>Schließung beauftragt 30.08.2023</t>
        </is>
      </c>
    </row>
    <row r="42" ht="11.25" customFormat="1" customHeight="1" s="1">
      <c r="A42" s="11" t="n"/>
      <c r="B42" s="41" t="n">
        <v>24</v>
      </c>
      <c r="C42" s="36" t="inlineStr">
        <is>
          <t>Haftungskredit ERA Management</t>
        </is>
      </c>
      <c r="D42" s="54" t="inlineStr">
        <is>
          <t>TRINUM</t>
        </is>
      </c>
      <c r="E42" s="36" t="inlineStr">
        <is>
          <t>BTV</t>
        </is>
      </c>
      <c r="F42" s="36" t="inlineStr">
        <is>
          <t>AT? Garantie Nr. 88048</t>
        </is>
      </c>
      <c r="G42" s="21" t="n">
        <v>25</v>
      </c>
      <c r="H42" s="29" t="n"/>
    </row>
    <row r="43" ht="11.25" customFormat="1" customHeight="1" s="1">
      <c r="A43" s="11" t="n"/>
      <c r="B43" s="41" t="n">
        <v>24</v>
      </c>
      <c r="C43" s="36" t="inlineStr">
        <is>
          <t>Haftungskredit MA28 Baugrubensichrg</t>
        </is>
      </c>
      <c r="D43" s="54" t="inlineStr">
        <is>
          <t>TRINUM</t>
        </is>
      </c>
      <c r="E43" s="36" t="inlineStr">
        <is>
          <t>BTV</t>
        </is>
      </c>
      <c r="F43" s="36" t="inlineStr">
        <is>
          <t>ATxx 1600 0009 0012 8355</t>
        </is>
      </c>
      <c r="G43" s="37" t="n">
        <v>21</v>
      </c>
      <c r="H43" s="77" t="inlineStr">
        <is>
          <t>ab Jänner geschlossen</t>
        </is>
      </c>
    </row>
    <row r="44" ht="11.25" customFormat="1" customHeight="1" s="47">
      <c r="A44" s="41" t="n"/>
      <c r="B44" s="41" t="n">
        <v>24</v>
      </c>
      <c r="C44" s="36" t="inlineStr">
        <is>
          <t>BV24 – Webergasse (FV ad 9517)</t>
        </is>
      </c>
      <c r="D44" s="54" t="inlineStr">
        <is>
          <t>TRINUM</t>
        </is>
      </c>
      <c r="E44" s="36" t="inlineStr">
        <is>
          <t>BTV</t>
        </is>
      </c>
      <c r="F44" s="36" t="inlineStr">
        <is>
          <t>AT29 1600 0001 0061 0167</t>
        </is>
      </c>
      <c r="G44" s="37" t="inlineStr">
        <is>
          <t>4.580.994</t>
        </is>
      </c>
      <c r="H44" s="51" t="inlineStr">
        <is>
          <t>Geschlossen lt. SM</t>
        </is>
      </c>
    </row>
    <row r="45" ht="11.25" customFormat="1" customHeight="1" s="47">
      <c r="A45" s="41" t="n"/>
      <c r="B45" s="41" t="n">
        <v>24</v>
      </c>
      <c r="C45" s="36" t="inlineStr">
        <is>
          <t>Webergasse (Fixvorlage)</t>
        </is>
      </c>
      <c r="D45" s="54" t="inlineStr">
        <is>
          <t>TRINUM</t>
        </is>
      </c>
      <c r="E45" s="36" t="inlineStr">
        <is>
          <t>BTV</t>
        </is>
      </c>
      <c r="F45" s="36" t="inlineStr">
        <is>
          <t>AT28 1630 0001 3022 7538</t>
        </is>
      </c>
      <c r="G45" s="37" t="inlineStr">
        <is>
          <t>1.892</t>
        </is>
      </c>
      <c r="H45" s="51" t="n"/>
    </row>
    <row r="46" ht="11.25" customFormat="1" customHeight="1" s="1">
      <c r="A46" s="11" t="n"/>
      <c r="B46" s="41" t="n">
        <v>24</v>
      </c>
      <c r="C46" s="36" t="inlineStr">
        <is>
          <t>Webergasse (Gst)</t>
        </is>
      </c>
      <c r="D46" s="54" t="inlineStr">
        <is>
          <t>TRINUM</t>
        </is>
      </c>
      <c r="E46" s="36" t="inlineStr">
        <is>
          <t>BTV</t>
        </is>
      </c>
      <c r="F46" s="36" t="inlineStr">
        <is>
          <t>AT78 1630 0001 3022 7511</t>
        </is>
      </c>
      <c r="G46" s="21" t="inlineStr">
        <is>
          <t>1.892</t>
        </is>
      </c>
      <c r="H46" s="29" t="n"/>
    </row>
    <row r="47" ht="11.25" customFormat="1" customHeight="1" s="1">
      <c r="A47" s="41" t="n"/>
      <c r="B47" s="41" t="n">
        <v>26</v>
      </c>
      <c r="C47" s="36" t="inlineStr">
        <is>
          <t>Staudg. Bankgar. Baugrubensichrg. MA28</t>
        </is>
      </c>
      <c r="D47" s="54" t="inlineStr">
        <is>
          <t>TRINUM</t>
        </is>
      </c>
      <c r="E47" s="36" t="inlineStr">
        <is>
          <t>Hypo Tirol</t>
        </is>
      </c>
      <c r="F47" s="36" t="inlineStr">
        <is>
          <t>AT48 5700 0305 5341 1556</t>
        </is>
      </c>
      <c r="G47" s="21" t="n">
        <v>16</v>
      </c>
      <c r="H47" s="29" t="n"/>
    </row>
    <row r="48" ht="11.25" customFormat="1" customHeight="1" s="1">
      <c r="A48" s="11" t="n"/>
      <c r="B48" s="41" t="n">
        <v>26</v>
      </c>
      <c r="C48" s="36" t="inlineStr">
        <is>
          <t>Staudg. Bankgar. Mithlinger Fenster</t>
        </is>
      </c>
      <c r="D48" s="54" t="inlineStr">
        <is>
          <t>TRINUM</t>
        </is>
      </c>
      <c r="E48" s="36" t="inlineStr">
        <is>
          <t>Hypo Tirol</t>
        </is>
      </c>
      <c r="F48" s="36" t="inlineStr">
        <is>
          <t>AT?</t>
        </is>
      </c>
      <c r="G48" s="37" t="n">
        <v>40</v>
      </c>
      <c r="H48" s="29" t="n"/>
    </row>
    <row r="49" ht="11.25" customFormat="1" customHeight="1" s="53">
      <c r="A49" s="11" t="n"/>
      <c r="B49" s="41" t="n"/>
      <c r="C49" s="36" t="inlineStr">
        <is>
          <t>Haftungskredit f.Anzhlg. Abtretungsvertr. alle Projekte</t>
        </is>
      </c>
      <c r="D49" s="54" t="inlineStr">
        <is>
          <t>TRINUM</t>
        </is>
      </c>
      <c r="E49" s="36" t="inlineStr">
        <is>
          <t>Hypo Tirol</t>
        </is>
      </c>
      <c r="F49" s="36" t="inlineStr">
        <is>
          <t>AT36 5700 0305 5340 9250</t>
        </is>
      </c>
      <c r="G49" s="37" t="n">
        <v>722</v>
      </c>
      <c r="H49" s="29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1" ht="258.75" customFormat="1" customHeight="1" s="28">
      <c r="A51" s="36" t="n">
        <v>62</v>
      </c>
      <c r="B51" s="36" t="inlineStr">
        <is>
          <t>BV62 Haftungskredite Schlusszahlung Käufer</t>
        </is>
      </c>
      <c r="C51" s="42" t="inlineStr">
        <is>
          <t>VEP</t>
        </is>
      </c>
      <c r="D51" s="36" t="inlineStr">
        <is>
          <t>TiSpa</t>
        </is>
      </c>
      <c r="E51" s="36" t="inlineStr">
        <is>
          <t>AT17 2050 3033 3162 8671</t>
        </is>
      </c>
      <c r="F51" s="37" t="n">
        <v>24.6</v>
      </c>
      <c r="G51" s="1" t="n"/>
      <c r="H51" s="1" t="n"/>
    </row>
    <row r="52" ht="213.75" customFormat="1" customHeight="1" s="28">
      <c r="A52" s="36" t="n">
        <v>66</v>
      </c>
      <c r="B52" s="36" t="inlineStr">
        <is>
          <t>BV66 Strudlhof Kautionskonto Pächter</t>
        </is>
      </c>
      <c r="C52" s="45" t="inlineStr">
        <is>
          <t>VEV</t>
        </is>
      </c>
      <c r="D52" s="36" t="inlineStr">
        <is>
          <t>Erste</t>
        </is>
      </c>
      <c r="E52" s="36" t="inlineStr">
        <is>
          <t>AT63 2011 1841 1043 3002</t>
        </is>
      </c>
      <c r="F52" s="80" t="inlineStr">
        <is>
          <t>Schließung beantragen, Guthaben auf VEV 4600</t>
        </is>
      </c>
      <c r="G52" s="1" t="n"/>
      <c r="H52" s="1" t="n"/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zoomScale="150" zoomScaleNormal="150" workbookViewId="0">
      <pane ySplit="1" topLeftCell="A2" activePane="bottomLeft" state="frozen"/>
      <selection pane="bottomLeft" activeCell="C10" sqref="C10"/>
    </sheetView>
  </sheetViews>
  <sheetFormatPr baseColWidth="10" defaultColWidth="18.42578125" defaultRowHeight="15"/>
  <cols>
    <col width="27.140625" customWidth="1" min="2" max="2"/>
    <col width="22.5703125" bestFit="1" customWidth="1" min="3" max="3"/>
    <col width="32.5703125" bestFit="1" customWidth="1" min="4" max="4"/>
    <col width="15.28515625" bestFit="1" customWidth="1" style="25" min="5" max="5"/>
    <col width="20.42578125" customWidth="1" min="6" max="6"/>
  </cols>
  <sheetData>
    <row r="1" ht="19.5" customHeight="1">
      <c r="A1" s="90" t="inlineStr">
        <is>
          <t>KONTEN IN DER VERWALTUNG UNSERER PARTNER</t>
        </is>
      </c>
      <c r="B1" s="94" t="n"/>
      <c r="C1" s="94" t="n"/>
      <c r="D1" s="94" t="n"/>
      <c r="E1" s="95" t="n"/>
    </row>
    <row r="2">
      <c r="A2" s="91" t="inlineStr">
        <is>
          <t>Bank</t>
        </is>
      </c>
      <c r="B2" s="91" t="inlineStr">
        <is>
          <t>IBAN</t>
        </is>
      </c>
      <c r="C2" s="91" t="inlineStr">
        <is>
          <t>Inhaber</t>
        </is>
      </c>
      <c r="D2" s="92" t="inlineStr">
        <is>
          <t>Projekt</t>
        </is>
      </c>
      <c r="E2" s="92" t="inlineStr">
        <is>
          <t>Rahmen</t>
        </is>
      </c>
    </row>
    <row r="3">
      <c r="A3" s="96" t="n"/>
      <c r="B3" s="96" t="n"/>
      <c r="C3" s="96" t="n"/>
      <c r="D3" s="96" t="n"/>
      <c r="E3" s="96" t="n"/>
    </row>
    <row r="4">
      <c r="A4" s="88" t="inlineStr">
        <is>
          <t>Verwaltet von Bauwerk</t>
        </is>
      </c>
      <c r="B4" s="94" t="n"/>
      <c r="C4" s="94" t="n"/>
      <c r="D4" s="94" t="n"/>
      <c r="E4" s="95" t="n"/>
    </row>
    <row r="5" hidden="1">
      <c r="A5" s="36" t="inlineStr">
        <is>
          <t>RA Zirl</t>
        </is>
      </c>
      <c r="B5" s="36" t="inlineStr">
        <is>
          <t>AT45 3600 0000 0093 0164</t>
        </is>
      </c>
      <c r="C5" s="36" t="inlineStr">
        <is>
          <t>Carl Ludwig GmbH &amp; Co KG</t>
        </is>
      </c>
      <c r="D5" s="36" t="inlineStr">
        <is>
          <t>BV60 – IBK, Hotel Europa</t>
        </is>
      </c>
      <c r="E5" s="37" t="inlineStr">
        <is>
          <t>23.400</t>
        </is>
      </c>
      <c r="F5" s="38" t="inlineStr">
        <is>
          <t>Anteile verkauft</t>
        </is>
      </c>
    </row>
    <row r="6" hidden="1">
      <c r="A6" s="36" t="inlineStr">
        <is>
          <t>RLB</t>
        </is>
      </c>
      <c r="B6" s="36" t="inlineStr">
        <is>
          <t>AT74 3600 0000 7008 1427</t>
        </is>
      </c>
      <c r="C6" s="36" t="inlineStr">
        <is>
          <t>Carl Ludwig</t>
        </is>
      </c>
      <c r="D6" s="36" t="inlineStr">
        <is>
          <t>BV60 – Hotel Europa Avalkredit</t>
        </is>
      </c>
      <c r="E6" s="37" t="n">
        <v>500</v>
      </c>
      <c r="F6" s="38" t="inlineStr">
        <is>
          <t>Anteile verkauft</t>
        </is>
      </c>
    </row>
    <row r="7" hidden="1">
      <c r="A7" s="36" t="inlineStr">
        <is>
          <t>RLB</t>
        </is>
      </c>
      <c r="B7" s="36" t="inlineStr">
        <is>
          <t>AT62 3600 0000 0039 5970</t>
        </is>
      </c>
      <c r="C7" s="36" t="inlineStr">
        <is>
          <t>Carl Ludwig Komp</t>
        </is>
      </c>
      <c r="D7" s="36" t="inlineStr">
        <is>
          <t>BV60 – Hotel Europa Avalkredit</t>
        </is>
      </c>
      <c r="E7" s="40" t="n"/>
      <c r="F7" s="38" t="inlineStr">
        <is>
          <t>Anteile verkauft</t>
        </is>
      </c>
    </row>
    <row r="8">
      <c r="A8" s="5" t="inlineStr">
        <is>
          <t>RLB</t>
        </is>
      </c>
      <c r="B8" s="5" t="inlineStr">
        <is>
          <t>AT09 3600 0000 0080 8980</t>
        </is>
      </c>
      <c r="C8" s="5" t="inlineStr">
        <is>
          <t>EMI</t>
        </is>
      </c>
      <c r="D8" s="5" t="inlineStr">
        <is>
          <t>HK     – Geschäftskonto</t>
        </is>
      </c>
      <c r="E8" s="21" t="inlineStr">
        <is>
          <t>Pluskonto</t>
        </is>
      </c>
    </row>
    <row r="9">
      <c r="A9" s="5" t="inlineStr">
        <is>
          <t>BTV</t>
        </is>
      </c>
      <c r="B9" s="5" t="inlineStr">
        <is>
          <t>AT64 1600 0001 0061 9334</t>
        </is>
      </c>
      <c r="C9" s="5" t="inlineStr">
        <is>
          <t>FJ</t>
        </is>
      </c>
      <c r="D9" s="5" t="inlineStr">
        <is>
          <t>BV31 – LAHZP Bankgarantien</t>
        </is>
      </c>
      <c r="E9" s="24" t="n"/>
    </row>
    <row r="10">
      <c r="A10" s="5" t="inlineStr">
        <is>
          <t>RLB</t>
        </is>
      </c>
      <c r="B10" s="5" t="inlineStr">
        <is>
          <t>AT30 3600 0000 0089 1440</t>
        </is>
      </c>
      <c r="C10" s="5" t="inlineStr">
        <is>
          <t>FF</t>
        </is>
      </c>
      <c r="D10" s="5" t="inlineStr">
        <is>
          <t>HK     – Geschäftskonto</t>
        </is>
      </c>
      <c r="E10" s="21" t="inlineStr">
        <is>
          <t>Pluskonto</t>
        </is>
      </c>
    </row>
    <row r="11">
      <c r="A11" s="5" t="inlineStr">
        <is>
          <t>RLB</t>
        </is>
      </c>
      <c r="B11" s="5" t="inlineStr">
        <is>
          <t>AT56 3600 0000 0089 1457</t>
        </is>
      </c>
      <c r="C11" s="5" t="inlineStr">
        <is>
          <t>FF Schanzstr</t>
        </is>
      </c>
      <c r="D11" s="5" t="inlineStr">
        <is>
          <t>HK     – Geschäftskonto</t>
        </is>
      </c>
      <c r="E11" s="21" t="inlineStr">
        <is>
          <t>Pluskonto</t>
        </is>
      </c>
    </row>
    <row r="12">
      <c r="A12" s="5" t="inlineStr">
        <is>
          <t>RLB</t>
        </is>
      </c>
      <c r="B12" s="5" t="inlineStr">
        <is>
          <t>AT34 3600 0000 0089 1465</t>
        </is>
      </c>
      <c r="C12" s="5" t="inlineStr">
        <is>
          <t>FF Schanzstr. GmbH &amp; Co KG</t>
        </is>
      </c>
      <c r="D12" s="5" t="inlineStr">
        <is>
          <t>HK     – Geschäftskonto</t>
        </is>
      </c>
      <c r="E12" s="21" t="inlineStr">
        <is>
          <t>Pluskonto</t>
        </is>
      </c>
    </row>
    <row r="13">
      <c r="A13" s="5" t="inlineStr">
        <is>
          <t>BTV</t>
        </is>
      </c>
      <c r="B13" s="5" t="inlineStr">
        <is>
          <t>AT24 1600 0001 0063 8290</t>
        </is>
      </c>
      <c r="C13" s="5" t="inlineStr">
        <is>
          <t>FF Schanzstr. GmbH &amp; Co KG</t>
        </is>
      </c>
      <c r="D13" s="5" t="inlineStr">
        <is>
          <t>BV47 – Kontokorrent (Grundstückskauf)</t>
        </is>
      </c>
      <c r="E13" s="21" t="inlineStr">
        <is>
          <t>13.400</t>
        </is>
      </c>
    </row>
    <row r="14">
      <c r="A14" s="5" t="inlineStr">
        <is>
          <t>BTV</t>
        </is>
      </c>
      <c r="B14" s="5" t="inlineStr">
        <is>
          <t>AT90 1600 0001 0063 8363 / 8304</t>
        </is>
      </c>
      <c r="C14" s="5" t="inlineStr">
        <is>
          <t>FF Schanzstr. GmbH &amp; Co KG</t>
        </is>
      </c>
      <c r="D14" s="5" t="inlineStr">
        <is>
          <t>BV47 – Investitionskredit (Baufinanzierung)</t>
        </is>
      </c>
      <c r="E14" s="21" t="inlineStr">
        <is>
          <t>19.000</t>
        </is>
      </c>
    </row>
    <row r="15">
      <c r="A15" s="88" t="inlineStr">
        <is>
          <t>Verwaltet von PEMA</t>
        </is>
      </c>
      <c r="B15" s="94" t="n"/>
      <c r="C15" s="94" t="n"/>
      <c r="D15" s="94" t="n"/>
      <c r="E15" s="95" t="n"/>
    </row>
    <row r="16">
      <c r="A16" s="5" t="inlineStr">
        <is>
          <t>BTV</t>
        </is>
      </c>
      <c r="B16" s="5" t="inlineStr">
        <is>
          <t>AT89 1600 0001 0067 0100</t>
        </is>
      </c>
      <c r="C16" s="5" t="inlineStr">
        <is>
          <t>Adam GmbH</t>
        </is>
      </c>
      <c r="D16" s="5" t="inlineStr">
        <is>
          <t>HK</t>
        </is>
      </c>
      <c r="E16" s="24" t="n"/>
    </row>
    <row r="17">
      <c r="A17" s="5" t="inlineStr">
        <is>
          <t>BTV</t>
        </is>
      </c>
      <c r="B17" s="5" t="inlineStr">
        <is>
          <t>AT61 1600 0001 0067 0119</t>
        </is>
      </c>
      <c r="C17" s="5" t="inlineStr">
        <is>
          <t>Adam GmbH &amp; Co KG</t>
        </is>
      </c>
      <c r="D17" s="5" t="inlineStr">
        <is>
          <t>HK</t>
        </is>
      </c>
      <c r="E17" s="24" t="n"/>
    </row>
    <row r="18">
      <c r="A18" s="5" t="inlineStr">
        <is>
          <t>BTV</t>
        </is>
      </c>
      <c r="B18" s="5" t="inlineStr">
        <is>
          <t>AT50 1600 0001 0067 1190</t>
        </is>
      </c>
      <c r="C18" s="5" t="inlineStr">
        <is>
          <t>Adam 22 Dev. GmbH &amp; Co KG</t>
        </is>
      </c>
      <c r="D18" s="5" t="inlineStr">
        <is>
          <t>?</t>
        </is>
      </c>
      <c r="E18" s="24" t="n"/>
    </row>
    <row r="19">
      <c r="A19" s="5" t="inlineStr">
        <is>
          <t>VB</t>
        </is>
      </c>
      <c r="B19" s="5" t="inlineStr">
        <is>
          <t>AT83 4239 0030 0009 2425</t>
        </is>
      </c>
      <c r="C19" s="5" t="inlineStr">
        <is>
          <t>Schönegg Development</t>
        </is>
      </c>
      <c r="D19" s="5" t="inlineStr">
        <is>
          <t>HK + BV88 Schönegg</t>
        </is>
      </c>
      <c r="E19" s="21" t="inlineStr">
        <is>
          <t>5.734</t>
        </is>
      </c>
    </row>
    <row r="20" customFormat="1" s="39">
      <c r="A20" s="89" t="inlineStr">
        <is>
          <t>Verwaltet von STC - Anteile verkauft</t>
        </is>
      </c>
      <c r="B20" s="97" t="n"/>
      <c r="C20" s="97" t="n"/>
      <c r="D20" s="97" t="n"/>
      <c r="E20" s="98" t="n"/>
    </row>
    <row r="21">
      <c r="A21" s="36" t="inlineStr">
        <is>
          <t>Erste</t>
        </is>
      </c>
      <c r="B21" s="36" t="inlineStr">
        <is>
          <t>AT25 2011 1845 2537 6600</t>
        </is>
      </c>
      <c r="C21" s="36" t="inlineStr">
        <is>
          <t>PIER05 Entwicklung</t>
        </is>
      </c>
      <c r="D21" s="36" t="inlineStr">
        <is>
          <t>HK     - Geschäftskonto</t>
        </is>
      </c>
      <c r="E21" s="37" t="inlineStr">
        <is>
          <t>Pluskonto / Mutter</t>
        </is>
      </c>
      <c r="F21" s="38" t="inlineStr">
        <is>
          <t>Anteile verkauft</t>
        </is>
      </c>
    </row>
    <row r="22">
      <c r="A22" s="36" t="inlineStr">
        <is>
          <t>Erste</t>
        </is>
      </c>
      <c r="B22" s="36" t="inlineStr">
        <is>
          <t>AT60 2011 1845 4911 0900</t>
        </is>
      </c>
      <c r="C22" s="36" t="inlineStr">
        <is>
          <t>PIER05 KOMP 1</t>
        </is>
      </c>
      <c r="D22" s="36" t="inlineStr">
        <is>
          <t>HK     - Geschäftskonto</t>
        </is>
      </c>
      <c r="E22" s="37" t="inlineStr">
        <is>
          <t>Pluskonto</t>
        </is>
      </c>
      <c r="F22" s="38" t="inlineStr">
        <is>
          <t>Anteile verkauft</t>
        </is>
      </c>
    </row>
    <row r="23">
      <c r="A23" s="36" t="inlineStr">
        <is>
          <t>Erste</t>
        </is>
      </c>
      <c r="B23" s="36" t="inlineStr">
        <is>
          <t>AT05 2011 1846 6409 8600</t>
        </is>
      </c>
      <c r="C23" s="36" t="inlineStr">
        <is>
          <t>PIER05 KOMP 2</t>
        </is>
      </c>
      <c r="D23" s="36" t="inlineStr">
        <is>
          <t>HK     - Geschäftskonto (TU)</t>
        </is>
      </c>
      <c r="E23" s="37" t="inlineStr">
        <is>
          <t>Pluskonto</t>
        </is>
      </c>
      <c r="F23" s="38" t="inlineStr">
        <is>
          <t>Anteile verkauft</t>
        </is>
      </c>
    </row>
    <row r="24">
      <c r="A24" s="36" t="inlineStr">
        <is>
          <t>Erste</t>
        </is>
      </c>
      <c r="B24" s="36" t="inlineStr">
        <is>
          <t>AT25 2011 1846 6466 8600</t>
        </is>
      </c>
      <c r="C24" s="36" t="inlineStr">
        <is>
          <t>PIER05 Nord Holding</t>
        </is>
      </c>
      <c r="D24" s="36" t="inlineStr">
        <is>
          <t>HK     - Geschäftskonto</t>
        </is>
      </c>
      <c r="E24" s="37" t="inlineStr">
        <is>
          <t>Pluskonto</t>
        </is>
      </c>
      <c r="F24" s="38" t="inlineStr">
        <is>
          <t>Anteile verkauft</t>
        </is>
      </c>
    </row>
    <row r="25">
      <c r="A25" s="36" t="inlineStr">
        <is>
          <t>Erste</t>
        </is>
      </c>
      <c r="B25" s="36" t="inlineStr">
        <is>
          <t>AT25 2011 1846 6465 8900</t>
        </is>
      </c>
      <c r="C25" s="36" t="inlineStr">
        <is>
          <t>PIER05 Süd Holding</t>
        </is>
      </c>
      <c r="D25" s="36" t="inlineStr">
        <is>
          <t>HK     - Geschäftskonto</t>
        </is>
      </c>
      <c r="E25" s="37" t="inlineStr">
        <is>
          <t>Pluskonto</t>
        </is>
      </c>
      <c r="F25" s="38" t="inlineStr">
        <is>
          <t>Anteile verkauft</t>
        </is>
      </c>
    </row>
    <row r="26">
      <c r="A26" s="36" t="inlineStr">
        <is>
          <t>Erste</t>
        </is>
      </c>
      <c r="B26" s="36" t="inlineStr">
        <is>
          <t>AT45 2011 1846 6463 7200</t>
        </is>
      </c>
      <c r="C26" s="36" t="inlineStr">
        <is>
          <t>PIER05 Nord</t>
        </is>
      </c>
      <c r="D26" s="36" t="inlineStr">
        <is>
          <t>HK     - Geschäftskonto</t>
        </is>
      </c>
      <c r="E26" s="37" t="inlineStr">
        <is>
          <t>Pluskonto</t>
        </is>
      </c>
      <c r="F26" s="38" t="inlineStr">
        <is>
          <t>Anteile verkauft</t>
        </is>
      </c>
    </row>
    <row r="27">
      <c r="A27" s="36" t="inlineStr">
        <is>
          <t>Erste</t>
        </is>
      </c>
      <c r="B27" s="36" t="inlineStr">
        <is>
          <t>AT81 2011 1846 6447 0100</t>
        </is>
      </c>
      <c r="C27" s="36" t="inlineStr">
        <is>
          <t>PIER05 Süd</t>
        </is>
      </c>
      <c r="D27" s="36" t="inlineStr">
        <is>
          <t>HK     - Geschäftskonto</t>
        </is>
      </c>
      <c r="E27" s="37" t="inlineStr">
        <is>
          <t>Pluskonto</t>
        </is>
      </c>
      <c r="F27" s="38" t="inlineStr">
        <is>
          <t>Anteile verkauft</t>
        </is>
      </c>
    </row>
    <row r="28">
      <c r="A28" s="36" t="inlineStr">
        <is>
          <t>Erste</t>
        </is>
      </c>
      <c r="B28" s="36" t="inlineStr">
        <is>
          <t>AT25 2011 1845 2537 6600</t>
        </is>
      </c>
      <c r="C28" s="36" t="inlineStr">
        <is>
          <t>PIER05 Entwicklung</t>
        </is>
      </c>
      <c r="D28" s="36" t="inlineStr">
        <is>
          <t>HK     - Geschäftskonto</t>
        </is>
      </c>
      <c r="E28" s="37" t="inlineStr">
        <is>
          <t>Pluskonto / Mutter</t>
        </is>
      </c>
      <c r="F28" s="38" t="inlineStr">
        <is>
          <t>Anteile verkauft</t>
        </is>
      </c>
    </row>
    <row r="29">
      <c r="A29" s="36" t="inlineStr">
        <is>
          <t>Erste</t>
        </is>
      </c>
      <c r="B29" s="36" t="inlineStr">
        <is>
          <t>AT95 2011 1845 2537 6601</t>
        </is>
      </c>
      <c r="C29" s="36" t="inlineStr">
        <is>
          <t>Pier05 Entwicklung</t>
        </is>
      </c>
      <c r="D29" s="36" t="inlineStr">
        <is>
          <t>BV79 Aspern Finanzierung</t>
        </is>
      </c>
      <c r="E29" s="37" t="inlineStr">
        <is>
          <t>33.000</t>
        </is>
      </c>
      <c r="F29" s="38" t="inlineStr">
        <is>
          <t>Anteile verkauft</t>
        </is>
      </c>
    </row>
    <row r="30">
      <c r="A30" s="3" t="n"/>
    </row>
  </sheetData>
  <mergeCells count="9">
    <mergeCell ref="A4:E4"/>
    <mergeCell ref="A20:E20"/>
    <mergeCell ref="A15:E15"/>
    <mergeCell ref="C2:C3"/>
    <mergeCell ref="A1:E1"/>
    <mergeCell ref="B2:B3"/>
    <mergeCell ref="A2:A3"/>
    <mergeCell ref="D2:D3"/>
    <mergeCell ref="E2:E3"/>
  </mergeCells>
  <hyperlinks>
    <hyperlink xmlns:r="http://schemas.openxmlformats.org/officeDocument/2006/relationships" ref="B8" display="https://banking.raiffeisen.at/group/privaterbgtir/id200000000/id201000000/konten/zvkonten/zvkontenuebersicht?p_p_id=kontoinfo_WAR_kontoinfoportlet_INSTANCE_Qc0Z&amp;p_p_lifecycle=0&amp;p_p_state=normal&amp;p_p_mode=view&amp;p_p_col_id=column-2&amp;p_p_col_count=1&amp;_kontoinfo_WAR_kontoinfoportlet_INSTANCE_Qc0Z_flowid=konten&amp;_kontoinfo_WAR_kontoinfoportlet_INSTANCE_Qc0Z_execution=e1s1" r:id="rId1"/>
  </hyperlinks>
  <pageMargins left="0.25" right="0.25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Assistenz</dc:creator>
  <dcterms:created xsi:type="dcterms:W3CDTF">2023-07-04T08:52:42Z</dcterms:created>
  <dcterms:modified xsi:type="dcterms:W3CDTF">2026-10-18T07:07:56Z</dcterms:modified>
  <cp:lastModifiedBy>Maria Gurgisser</cp:lastModifiedBy>
  <cp:lastPrinted>2024-02-14T08:05:08Z</cp:lastPrinted>
</cp:coreProperties>
</file>